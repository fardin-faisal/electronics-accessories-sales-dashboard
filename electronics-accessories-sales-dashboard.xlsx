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D:\Data Analysis\Projects\Excel Dashboards\"/>
    </mc:Choice>
  </mc:AlternateContent>
  <xr:revisionPtr revIDLastSave="0" documentId="13_ncr:1_{62AAB43F-A31C-47DA-8107-891DE94B1171}" xr6:coauthVersionLast="47" xr6:coauthVersionMax="47" xr10:uidLastSave="{00000000-0000-0000-0000-000000000000}"/>
  <bookViews>
    <workbookView xWindow="-120" yWindow="-120" windowWidth="29040" windowHeight="15720" activeTab="4" xr2:uid="{EDBFB9B6-E57F-427E-A874-1DE496662829}"/>
  </bookViews>
  <sheets>
    <sheet name="Customers" sheetId="3" r:id="rId1"/>
    <sheet name="Products" sheetId="2" r:id="rId2"/>
    <sheet name="Sales" sheetId="4" r:id="rId3"/>
    <sheet name="PivotTable" sheetId="5" r:id="rId4"/>
    <sheet name="Dashboard Advanced" sheetId="7" r:id="rId5"/>
  </sheets>
  <definedNames>
    <definedName name="_xlcn.WorksheetConnection_module4powerpivotdax.xlsxCustomers1" hidden="1">Customers[]</definedName>
    <definedName name="_xlcn.WorksheetConnection_module4powerpivotdax.xlsxProducts1" hidden="1">Products[]</definedName>
    <definedName name="_xlcn.WorksheetConnection_module4powerpivotdax.xlsxSales1" hidden="1">Sales[]</definedName>
    <definedName name="Slicer_Category">#N/A</definedName>
    <definedName name="Slicer_Product_Name">#N/A</definedName>
    <definedName name="Slicer_Region">#N/A</definedName>
  </definedNames>
  <calcPr calcId="191029"/>
  <pivotCaches>
    <pivotCache cacheId="581" r:id="rId6"/>
    <pivotCache cacheId="584" r:id="rId7"/>
    <pivotCache cacheId="587" r:id="rId8"/>
    <pivotCache cacheId="590" r:id="rId9"/>
  </pivotCaches>
  <extLst>
    <ext xmlns:x14="http://schemas.microsoft.com/office/spreadsheetml/2009/9/main" uri="{876F7934-8845-4945-9796-88D515C7AA90}">
      <x14:pivotCaches>
        <pivotCache cacheId="98"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module-4-power-pivot-dax.xlsx!Sales"/>
          <x15:modelTable id="Products" name="Products" connection="WorksheetConnection_module-4-power-pivot-dax.xlsx!Products"/>
          <x15:modelTable id="Customers" name="Customers" connection="WorksheetConnection_module-4-power-pivot-dax.xlsx!Customers"/>
        </x15:modelTables>
        <x15:modelRelationships>
          <x15:modelRelationship fromTable="Sales" fromColumn="Customer ID" toTable="Customers"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 i="5" l="1"/>
  <c r="K35" i="5"/>
  <c r="K3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FC94A0-2B84-404C-8588-8455519A2A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A341541-6E09-4494-BF58-43E8F6E93E19}" name="WorksheetConnection_module-4-power-pivot-dax.xlsx!Customers" type="102" refreshedVersion="8" minRefreshableVersion="5">
    <extLst>
      <ext xmlns:x15="http://schemas.microsoft.com/office/spreadsheetml/2010/11/main" uri="{DE250136-89BD-433C-8126-D09CA5730AF9}">
        <x15:connection id="Customers">
          <x15:rangePr sourceName="_xlcn.WorksheetConnection_module4powerpivotdax.xlsxCustomers1"/>
        </x15:connection>
      </ext>
    </extLst>
  </connection>
  <connection id="3" xr16:uid="{3ED90230-6F6B-452E-8E91-1D1E7FA7C9E0}" name="WorksheetConnection_module-4-power-pivot-dax.xlsx!Products" type="102" refreshedVersion="8" minRefreshableVersion="5">
    <extLst>
      <ext xmlns:x15="http://schemas.microsoft.com/office/spreadsheetml/2010/11/main" uri="{DE250136-89BD-433C-8126-D09CA5730AF9}">
        <x15:connection id="Products">
          <x15:rangePr sourceName="_xlcn.WorksheetConnection_module4powerpivotdax.xlsxProducts1"/>
        </x15:connection>
      </ext>
    </extLst>
  </connection>
  <connection id="4" xr16:uid="{A27615BF-BDC3-483E-89FF-3A21F8E46793}" name="WorksheetConnection_module-4-power-pivot-dax.xlsx!Sales" type="102" refreshedVersion="8" minRefreshableVersion="5">
    <extLst>
      <ext xmlns:x15="http://schemas.microsoft.com/office/spreadsheetml/2010/11/main" uri="{DE250136-89BD-433C-8126-D09CA5730AF9}">
        <x15:connection id="Sales">
          <x15:rangePr sourceName="_xlcn.WorksheetConnection_module4powerpivotdax.xlsxSales1"/>
        </x15:connection>
      </ext>
    </extLst>
  </connection>
</connections>
</file>

<file path=xl/sharedStrings.xml><?xml version="1.0" encoding="utf-8"?>
<sst xmlns="http://schemas.openxmlformats.org/spreadsheetml/2006/main" count="165" uniqueCount="85">
  <si>
    <t>Customer ID</t>
  </si>
  <si>
    <t>Customer Name</t>
  </si>
  <si>
    <t>Region</t>
  </si>
  <si>
    <t>C001</t>
  </si>
  <si>
    <t>C002</t>
  </si>
  <si>
    <t>C003</t>
  </si>
  <si>
    <t>C004</t>
  </si>
  <si>
    <t>C005</t>
  </si>
  <si>
    <t>C006</t>
  </si>
  <si>
    <t>C007</t>
  </si>
  <si>
    <t>C008</t>
  </si>
  <si>
    <t>C009</t>
  </si>
  <si>
    <t>C010</t>
  </si>
  <si>
    <t>Mohammed</t>
  </si>
  <si>
    <t>Faisal</t>
  </si>
  <si>
    <t>Fardin</t>
  </si>
  <si>
    <t>Chowdhury</t>
  </si>
  <si>
    <t>Mamun</t>
  </si>
  <si>
    <t>Sayem</t>
  </si>
  <si>
    <t>Mayeen</t>
  </si>
  <si>
    <t>Tasin</t>
  </si>
  <si>
    <t>Rafi</t>
  </si>
  <si>
    <t>Rayhan</t>
  </si>
  <si>
    <t>Dhaka</t>
  </si>
  <si>
    <t>Chattogram</t>
  </si>
  <si>
    <t>Khulna</t>
  </si>
  <si>
    <t>Comilla</t>
  </si>
  <si>
    <t>Product ID</t>
  </si>
  <si>
    <t>Product Name</t>
  </si>
  <si>
    <t>Category</t>
  </si>
  <si>
    <t>Unit Price</t>
  </si>
  <si>
    <t>P001</t>
  </si>
  <si>
    <t>P002</t>
  </si>
  <si>
    <t>P003</t>
  </si>
  <si>
    <t>P004</t>
  </si>
  <si>
    <t>P005</t>
  </si>
  <si>
    <t>P006</t>
  </si>
  <si>
    <t>Laptop</t>
  </si>
  <si>
    <t>Electronics</t>
  </si>
  <si>
    <t>Mobile</t>
  </si>
  <si>
    <t>Tablet</t>
  </si>
  <si>
    <t>Mouse</t>
  </si>
  <si>
    <t>Accessories</t>
  </si>
  <si>
    <t>Keyboard</t>
  </si>
  <si>
    <t>Monitor</t>
  </si>
  <si>
    <t>Order ID</t>
  </si>
  <si>
    <t>Order Date</t>
  </si>
  <si>
    <t>Quantity</t>
  </si>
  <si>
    <t>O001</t>
  </si>
  <si>
    <t>O002</t>
  </si>
  <si>
    <t>O003</t>
  </si>
  <si>
    <t>O004</t>
  </si>
  <si>
    <t>O005</t>
  </si>
  <si>
    <t>O006</t>
  </si>
  <si>
    <t>O007</t>
  </si>
  <si>
    <t>O008</t>
  </si>
  <si>
    <t>O009</t>
  </si>
  <si>
    <t>O010</t>
  </si>
  <si>
    <t>O011</t>
  </si>
  <si>
    <t>O012</t>
  </si>
  <si>
    <t>O013</t>
  </si>
  <si>
    <t>O014</t>
  </si>
  <si>
    <t>O015</t>
  </si>
  <si>
    <t>O016</t>
  </si>
  <si>
    <t>O017</t>
  </si>
  <si>
    <t>O018</t>
  </si>
  <si>
    <t>O019</t>
  </si>
  <si>
    <t>O020</t>
  </si>
  <si>
    <t>Row Labels</t>
  </si>
  <si>
    <t>Grand Total</t>
  </si>
  <si>
    <t>Sum of Quantity</t>
  </si>
  <si>
    <t>Chowdhury Total</t>
  </si>
  <si>
    <t>Mamun Total</t>
  </si>
  <si>
    <t>Rafi Total</t>
  </si>
  <si>
    <t>Tasin Total</t>
  </si>
  <si>
    <t>Total Quantity</t>
  </si>
  <si>
    <t>Average Quantity</t>
  </si>
  <si>
    <t>Order Count</t>
  </si>
  <si>
    <t>Distinct Order Count</t>
  </si>
  <si>
    <t>Total Sales</t>
  </si>
  <si>
    <t>O021</t>
  </si>
  <si>
    <t>Mar</t>
  </si>
  <si>
    <t>Apr</t>
  </si>
  <si>
    <t>May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</si>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</sst>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000000"/>
      <name val="Aptos Narrow"/>
      <family val="2"/>
      <scheme val="minor"/>
    </font>
    <font>
      <sz val="8"/>
      <name val="Aptos Narrow"/>
      <family val="2"/>
      <scheme val="minor"/>
    </font>
    <font>
      <b/>
      <sz val="11"/>
      <color theme="1"/>
      <name val="Aptos Narrow"/>
      <family val="2"/>
      <scheme val="minor"/>
    </font>
    <font>
      <sz val="11"/>
      <color theme="1"/>
      <name val="Bahnschrift"/>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6"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1" fillId="0" borderId="0" xfId="0" applyFont="1"/>
    <xf numFmtId="15" fontId="0" fillId="0" borderId="0" xfId="0" applyNumberFormat="1"/>
    <xf numFmtId="0" fontId="0" fillId="0" borderId="0" xfId="0" pivotButton="1"/>
    <xf numFmtId="0" fontId="0" fillId="0" borderId="0" xfId="0" applyAlignment="1">
      <alignment horizontal="left"/>
    </xf>
    <xf numFmtId="0" fontId="3" fillId="2" borderId="1" xfId="0" applyFont="1" applyFill="1" applyBorder="1"/>
    <xf numFmtId="0" fontId="0" fillId="0" borderId="0" xfId="0" applyNumberFormat="1"/>
    <xf numFmtId="0" fontId="0" fillId="3" borderId="0" xfId="0" applyFill="1"/>
    <xf numFmtId="0" fontId="4" fillId="3" borderId="0" xfId="0" applyFont="1" applyFill="1"/>
    <xf numFmtId="0" fontId="0" fillId="4" borderId="0" xfId="0" applyFill="1" applyAlignment="1">
      <alignment horizontal="center"/>
    </xf>
    <xf numFmtId="0" fontId="0" fillId="4" borderId="0" xfId="0" applyFill="1"/>
  </cellXfs>
  <cellStyles count="1">
    <cellStyle name="Normal" xfId="0" builtinId="0"/>
  </cellStyles>
  <dxfs count="3">
    <dxf>
      <numFmt numFmtId="20" formatCode="d\-mmm\-yy"/>
    </dxf>
    <dxf>
      <font>
        <b/>
        <i val="0"/>
        <strike val="0"/>
        <condense val="0"/>
        <extend val="0"/>
        <outline val="0"/>
        <shadow val="0"/>
        <u val="none"/>
        <vertAlign val="baseline"/>
        <sz val="11"/>
        <color rgb="FF000000"/>
        <name val="Aptos Narrow"/>
        <family val="2"/>
        <scheme val="minor"/>
      </font>
    </dxf>
    <dxf>
      <font>
        <b/>
        <i val="0"/>
        <strike val="0"/>
        <condense val="0"/>
        <extend val="0"/>
        <outline val="0"/>
        <shadow val="0"/>
        <u val="none"/>
        <vertAlign val="baseline"/>
        <sz val="11"/>
        <color rgb="FF000000"/>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[electronics-accessories-sales-dashboard.xlsx]PivotTable!PivotTable2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PivotTable!$B$37</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PivotTable!$A$38:$A$42</c:f>
              <c:strCache>
                <c:ptCount val="4"/>
                <c:pt idx="0">
                  <c:v>Chattogram</c:v>
                </c:pt>
                <c:pt idx="1">
                  <c:v>Comilla</c:v>
                </c:pt>
                <c:pt idx="2">
                  <c:v>Dhaka</c:v>
                </c:pt>
                <c:pt idx="3">
                  <c:v>Khulna</c:v>
                </c:pt>
              </c:strCache>
            </c:strRef>
          </c:cat>
          <c:val>
            <c:numRef>
              <c:f>PivotTable!$B$38:$B$42</c:f>
              <c:numCache>
                <c:formatCode>General</c:formatCode>
                <c:ptCount val="4"/>
                <c:pt idx="0">
                  <c:v>1000</c:v>
                </c:pt>
                <c:pt idx="1">
                  <c:v>2500</c:v>
                </c:pt>
                <c:pt idx="2">
                  <c:v>1000</c:v>
                </c:pt>
                <c:pt idx="3">
                  <c:v>1500</c:v>
                </c:pt>
              </c:numCache>
            </c:numRef>
          </c:val>
          <c:extLst>
            <c:ext xmlns:c16="http://schemas.microsoft.com/office/drawing/2014/chart" uri="{C3380CC4-5D6E-409C-BE32-E72D297353CC}">
              <c16:uniqueId val="{00000000-73C7-477A-8D99-1A7121EB4863}"/>
            </c:ext>
          </c:extLst>
        </c:ser>
        <c:dLbls>
          <c:dLblPos val="outEnd"/>
          <c:showLegendKey val="0"/>
          <c:showVal val="1"/>
          <c:showCatName val="0"/>
          <c:showSerName val="0"/>
          <c:showPercent val="0"/>
          <c:showBubbleSize val="0"/>
        </c:dLbls>
        <c:gapWidth val="100"/>
        <c:overlap val="-24"/>
        <c:axId val="1263055856"/>
        <c:axId val="718113616"/>
      </c:barChart>
      <c:catAx>
        <c:axId val="126305585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8113616"/>
        <c:crosses val="autoZero"/>
        <c:auto val="1"/>
        <c:lblAlgn val="ctr"/>
        <c:lblOffset val="100"/>
        <c:noMultiLvlLbl val="0"/>
      </c:catAx>
      <c:valAx>
        <c:axId val="718113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305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[electronics-accessories-sales-dashboard.xlsx]PivotTable!PivotTable3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Products</a:t>
            </a:r>
          </a:p>
        </c:rich>
      </c:tx>
      <c:layout>
        <c:manualLayout>
          <c:xMode val="edge"/>
          <c:yMode val="edge"/>
          <c:x val="0.25781089962179926"/>
          <c:y val="2.93986678215692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solid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407278814557631E-2"/>
              <c:y val="-8.9904787879247026E-3"/>
            </c:manualLayout>
          </c:layout>
          <c:spPr>
            <a:solidFill>
              <a:sysClr val="window" lastClr="FFFFFF"/>
            </a:solidFill>
            <a:ln>
              <a:solidFill>
                <a:sysClr val="windowText" lastClr="000000"/>
              </a:solid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957281914563837E-3"/>
              <c:y val="-1.4533295622229013E-2"/>
            </c:manualLayout>
          </c:layout>
          <c:spPr>
            <a:solidFill>
              <a:sysClr val="window" lastClr="FFFFFF"/>
            </a:solidFill>
            <a:ln>
              <a:solidFill>
                <a:sysClr val="windowText" lastClr="000000"/>
              </a:solid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PivotTable!$E$37</c:f>
              <c:strCache>
                <c:ptCount val="1"/>
                <c:pt idx="0">
                  <c:v>Total</c:v>
                </c:pt>
              </c:strCache>
            </c:strRef>
          </c:tx>
          <c:dPt>
            <c:idx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2E-4475-B231-33761F111984}"/>
              </c:ext>
            </c:extLst>
          </c:dPt>
          <c:dPt>
            <c:idx val="1"/>
            <c:bubble3D val="0"/>
            <c:spPr>
              <a:gradFill rotWithShape="1">
                <a:gsLst>
                  <a:gs pos="0">
                    <a:schemeClr val="accent3">
                      <a:tint val="30000"/>
                      <a:satMod val="103000"/>
                      <a:lumMod val="102000"/>
                      <a:tint val="94000"/>
                    </a:schemeClr>
                  </a:gs>
                  <a:gs pos="50000">
                    <a:schemeClr val="accent3">
                      <a:tint val="30000"/>
                      <a:satMod val="110000"/>
                      <a:lumMod val="100000"/>
                      <a:shade val="100000"/>
                    </a:schemeClr>
                  </a:gs>
                  <a:gs pos="100000">
                    <a:schemeClr val="accent3">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2E-4475-B231-33761F111984}"/>
              </c:ext>
            </c:extLst>
          </c:dPt>
          <c:dPt>
            <c:idx val="2"/>
            <c:bubble3D val="0"/>
            <c:spPr>
              <a:gradFill rotWithShape="1">
                <a:gsLst>
                  <a:gs pos="0">
                    <a:schemeClr val="accent3">
                      <a:tint val="60000"/>
                      <a:satMod val="103000"/>
                      <a:lumMod val="102000"/>
                      <a:tint val="94000"/>
                    </a:schemeClr>
                  </a:gs>
                  <a:gs pos="50000">
                    <a:schemeClr val="accent3">
                      <a:tint val="60000"/>
                      <a:satMod val="110000"/>
                      <a:lumMod val="100000"/>
                      <a:shade val="100000"/>
                    </a:schemeClr>
                  </a:gs>
                  <a:gs pos="100000">
                    <a:schemeClr val="accent3">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2E-4475-B231-33761F111984}"/>
              </c:ext>
            </c:extLst>
          </c:dPt>
          <c:dPt>
            <c:idx val="3"/>
            <c:bubble3D val="0"/>
            <c:spPr>
              <a:gradFill rotWithShape="1">
                <a:gsLst>
                  <a:gs pos="0">
                    <a:schemeClr val="accent3">
                      <a:tint val="90000"/>
                      <a:satMod val="103000"/>
                      <a:lumMod val="102000"/>
                      <a:tint val="94000"/>
                    </a:schemeClr>
                  </a:gs>
                  <a:gs pos="50000">
                    <a:schemeClr val="accent3">
                      <a:tint val="90000"/>
                      <a:satMod val="110000"/>
                      <a:lumMod val="100000"/>
                      <a:shade val="100000"/>
                    </a:schemeClr>
                  </a:gs>
                  <a:gs pos="100000">
                    <a:schemeClr val="accent3">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2E-4475-B231-33761F111984}"/>
              </c:ext>
            </c:extLst>
          </c:dPt>
          <c:dPt>
            <c:idx val="4"/>
            <c:bubble3D val="0"/>
            <c:spPr>
              <a:gradFill rotWithShape="1">
                <a:gsLst>
                  <a:gs pos="0">
                    <a:schemeClr val="accent3">
                      <a:tint val="20000"/>
                      <a:satMod val="103000"/>
                      <a:lumMod val="102000"/>
                      <a:tint val="94000"/>
                    </a:schemeClr>
                  </a:gs>
                  <a:gs pos="50000">
                    <a:schemeClr val="accent3">
                      <a:tint val="20000"/>
                      <a:satMod val="110000"/>
                      <a:lumMod val="100000"/>
                      <a:shade val="100000"/>
                    </a:schemeClr>
                  </a:gs>
                  <a:gs pos="100000">
                    <a:schemeClr val="accent3">
                      <a:tint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A2E-4475-B231-33761F111984}"/>
              </c:ext>
            </c:extLst>
          </c:dPt>
          <c:dPt>
            <c:idx val="5"/>
            <c:bubble3D val="0"/>
            <c:spPr>
              <a:gradFill rotWithShape="1">
                <a:gsLst>
                  <a:gs pos="0">
                    <a:schemeClr val="accent3">
                      <a:tint val="50000"/>
                      <a:satMod val="103000"/>
                      <a:lumMod val="102000"/>
                      <a:tint val="94000"/>
                    </a:schemeClr>
                  </a:gs>
                  <a:gs pos="50000">
                    <a:schemeClr val="accent3">
                      <a:tint val="50000"/>
                      <a:satMod val="110000"/>
                      <a:lumMod val="100000"/>
                      <a:shade val="100000"/>
                    </a:schemeClr>
                  </a:gs>
                  <a:gs pos="100000">
                    <a:schemeClr val="accent3">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A2E-4475-B231-33761F111984}"/>
              </c:ext>
            </c:extLst>
          </c:dPt>
          <c:dLbls>
            <c:dLbl>
              <c:idx val="0"/>
              <c:layout>
                <c:manualLayout>
                  <c:x val="-8.0957281914563837E-3"/>
                  <c:y val="-1.45332956222290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A2E-4475-B231-33761F111984}"/>
                </c:ext>
              </c:extLst>
            </c:dLbl>
            <c:spPr>
              <a:solidFill>
                <a:sysClr val="window" lastClr="FFFFFF"/>
              </a:solidFill>
              <a:ln>
                <a:solidFill>
                  <a:sysClr val="windowText" lastClr="000000"/>
                </a:solid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PivotTable!$D$38:$D$39</c:f>
              <c:strCache>
                <c:ptCount val="1"/>
                <c:pt idx="0">
                  <c:v>Mouse</c:v>
                </c:pt>
              </c:strCache>
            </c:strRef>
          </c:cat>
          <c:val>
            <c:numRef>
              <c:f>PivotTable!$E$38:$E$39</c:f>
              <c:numCache>
                <c:formatCode>General</c:formatCode>
                <c:ptCount val="1"/>
                <c:pt idx="0">
                  <c:v>6000</c:v>
                </c:pt>
              </c:numCache>
            </c:numRef>
          </c:val>
          <c:extLst>
            <c:ext xmlns:c16="http://schemas.microsoft.com/office/drawing/2014/chart" uri="{C3380CC4-5D6E-409C-BE32-E72D297353CC}">
              <c16:uniqueId val="{0000000C-8A2E-4475-B231-33761F11198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[electronics-accessories-sales-dashboard.xlsx]PivotTable!PivotTable4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 &amp; Sales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34925" cap="rnd">
            <a:solidFill>
              <a:schemeClr val="accent3"/>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34925" cap="rnd">
            <a:solidFill>
              <a:schemeClr val="accent3">
                <a:tint val="77000"/>
              </a:schemeClr>
            </a:solidFill>
            <a:round/>
          </a:ln>
          <a:effectLst>
            <a:outerShdw blurRad="57150" dist="19050" dir="5400000" algn="ctr" rotWithShape="0">
              <a:srgbClr val="000000">
                <a:alpha val="63000"/>
              </a:srgbClr>
            </a:outerShdw>
          </a:effectLst>
        </c:spPr>
        <c:marker>
          <c:symbol val="none"/>
        </c:marker>
      </c:pivotFmt>
      <c:pivotFmt>
        <c:idx val="58"/>
        <c:spPr>
          <a:ln w="34925" cap="rnd">
            <a:solidFill>
              <a:schemeClr val="accent3">
                <a:tint val="77000"/>
              </a:schemeClr>
            </a:solidFill>
            <a:round/>
          </a:ln>
          <a:effectLst>
            <a:outerShdw blurRad="57150" dist="19050" dir="5400000" algn="ctr" rotWithShape="0">
              <a:srgbClr val="000000">
                <a:alpha val="63000"/>
              </a:srgbClr>
            </a:outerShdw>
          </a:effectLst>
        </c:spPr>
        <c:marker>
          <c:symbol val="none"/>
        </c:marker>
      </c:pivotFmt>
      <c:pivotFmt>
        <c:idx val="59"/>
        <c:spPr>
          <a:ln w="34925" cap="rnd">
            <a:solidFill>
              <a:schemeClr val="accent3">
                <a:tint val="77000"/>
              </a:schemeClr>
            </a:solidFill>
            <a:round/>
          </a:ln>
          <a:effectLst>
            <a:outerShdw blurRad="57150" dist="19050" dir="5400000" algn="ctr" rotWithShape="0">
              <a:srgbClr val="000000">
                <a:alpha val="63000"/>
              </a:srgbClr>
            </a:outerShdw>
          </a:effectLst>
        </c:spPr>
        <c:marker>
          <c:symbol val="none"/>
        </c:marker>
      </c:pivotFmt>
      <c:pivotFmt>
        <c:idx val="60"/>
      </c:pivotFmt>
    </c:pivotFmts>
    <c:plotArea>
      <c:layout/>
      <c:barChart>
        <c:barDir val="col"/>
        <c:grouping val="clustered"/>
        <c:varyColors val="0"/>
        <c:ser>
          <c:idx val="0"/>
          <c:order val="0"/>
          <c:tx>
            <c:strRef>
              <c:f>PivotTable!$H$37</c:f>
              <c:strCache>
                <c:ptCount val="1"/>
                <c:pt idx="0">
                  <c:v>Count of Order ID</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PivotTable!$G$38:$G$41</c:f>
              <c:strCache>
                <c:ptCount val="3"/>
                <c:pt idx="0">
                  <c:v>Mar</c:v>
                </c:pt>
                <c:pt idx="1">
                  <c:v>Apr</c:v>
                </c:pt>
                <c:pt idx="2">
                  <c:v>May</c:v>
                </c:pt>
              </c:strCache>
            </c:strRef>
          </c:cat>
          <c:val>
            <c:numRef>
              <c:f>PivotTable!$H$38:$H$41</c:f>
              <c:numCache>
                <c:formatCode>General</c:formatCode>
                <c:ptCount val="3"/>
                <c:pt idx="0">
                  <c:v>2</c:v>
                </c:pt>
                <c:pt idx="1">
                  <c:v>1</c:v>
                </c:pt>
                <c:pt idx="2">
                  <c:v>1</c:v>
                </c:pt>
              </c:numCache>
            </c:numRef>
          </c:val>
          <c:extLst>
            <c:ext xmlns:c16="http://schemas.microsoft.com/office/drawing/2014/chart" uri="{C3380CC4-5D6E-409C-BE32-E72D297353CC}">
              <c16:uniqueId val="{0000002A-08E9-4850-9510-D939B71F24B4}"/>
            </c:ext>
          </c:extLst>
        </c:ser>
        <c:dLbls>
          <c:showLegendKey val="0"/>
          <c:showVal val="0"/>
          <c:showCatName val="0"/>
          <c:showSerName val="0"/>
          <c:showPercent val="0"/>
          <c:showBubbleSize val="0"/>
        </c:dLbls>
        <c:gapWidth val="219"/>
        <c:axId val="1406532368"/>
        <c:axId val="631870160"/>
      </c:barChart>
      <c:lineChart>
        <c:grouping val="standard"/>
        <c:varyColors val="0"/>
        <c:ser>
          <c:idx val="1"/>
          <c:order val="1"/>
          <c:tx>
            <c:strRef>
              <c:f>PivotTable!$I$37</c:f>
              <c:strCache>
                <c:ptCount val="1"/>
                <c:pt idx="0">
                  <c:v>Total Sales</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none"/>
          </c:marker>
          <c:cat>
            <c:strRef>
              <c:f>PivotTable!$G$38:$G$41</c:f>
              <c:strCache>
                <c:ptCount val="3"/>
                <c:pt idx="0">
                  <c:v>Mar</c:v>
                </c:pt>
                <c:pt idx="1">
                  <c:v>Apr</c:v>
                </c:pt>
                <c:pt idx="2">
                  <c:v>May</c:v>
                </c:pt>
              </c:strCache>
            </c:strRef>
          </c:cat>
          <c:val>
            <c:numRef>
              <c:f>PivotTable!$I$38:$I$41</c:f>
              <c:numCache>
                <c:formatCode>General</c:formatCode>
                <c:ptCount val="3"/>
                <c:pt idx="0">
                  <c:v>3500</c:v>
                </c:pt>
                <c:pt idx="1">
                  <c:v>1500</c:v>
                </c:pt>
                <c:pt idx="2">
                  <c:v>1000</c:v>
                </c:pt>
              </c:numCache>
            </c:numRef>
          </c:val>
          <c:smooth val="0"/>
          <c:extLst>
            <c:ext xmlns:c16="http://schemas.microsoft.com/office/drawing/2014/chart" uri="{C3380CC4-5D6E-409C-BE32-E72D297353CC}">
              <c16:uniqueId val="{00000050-08E9-4850-9510-D939B71F24B4}"/>
            </c:ext>
          </c:extLst>
        </c:ser>
        <c:dLbls>
          <c:showLegendKey val="0"/>
          <c:showVal val="0"/>
          <c:showCatName val="0"/>
          <c:showSerName val="0"/>
          <c:showPercent val="0"/>
          <c:showBubbleSize val="0"/>
        </c:dLbls>
        <c:marker val="1"/>
        <c:smooth val="0"/>
        <c:axId val="1947357952"/>
        <c:axId val="631856720"/>
      </c:lineChart>
      <c:catAx>
        <c:axId val="140653236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1870160"/>
        <c:crosses val="autoZero"/>
        <c:auto val="1"/>
        <c:lblAlgn val="ctr"/>
        <c:lblOffset val="100"/>
        <c:noMultiLvlLbl val="0"/>
      </c:catAx>
      <c:valAx>
        <c:axId val="631870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532368"/>
        <c:crosses val="autoZero"/>
        <c:crossBetween val="between"/>
      </c:valAx>
      <c:valAx>
        <c:axId val="6318567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7357952"/>
        <c:crosses val="max"/>
        <c:crossBetween val="between"/>
      </c:valAx>
      <c:catAx>
        <c:axId val="1947357952"/>
        <c:scaling>
          <c:orientation val="minMax"/>
        </c:scaling>
        <c:delete val="1"/>
        <c:axPos val="t"/>
        <c:numFmt formatCode="General" sourceLinked="1"/>
        <c:majorTickMark val="out"/>
        <c:minorTickMark val="none"/>
        <c:tickLblPos val="nextTo"/>
        <c:crossAx val="631856720"/>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57150</xdr:colOff>
      <xdr:row>15</xdr:row>
      <xdr:rowOff>104775</xdr:rowOff>
    </xdr:from>
    <xdr:to>
      <xdr:col>18</xdr:col>
      <xdr:colOff>0</xdr:colOff>
      <xdr:row>29</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790CEBE-916F-3C2F-8672-9E13242719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91950" y="2962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466725</xdr:colOff>
      <xdr:row>15</xdr:row>
      <xdr:rowOff>95250</xdr:rowOff>
    </xdr:from>
    <xdr:to>
      <xdr:col>14</xdr:col>
      <xdr:colOff>542925</xdr:colOff>
      <xdr:row>29</xdr:row>
      <xdr:rowOff>95250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C4751E1F-CEC1-D9B4-2277-BB959EDE2C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20275" y="2952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390525</xdr:colOff>
      <xdr:row>15</xdr:row>
      <xdr:rowOff>76200</xdr:rowOff>
    </xdr:from>
    <xdr:to>
      <xdr:col>10</xdr:col>
      <xdr:colOff>590550</xdr:colOff>
      <xdr:row>29</xdr:row>
      <xdr:rowOff>76200</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52C26917-B8C0-D699-A4EC-57608A08845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7486650" y="2933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133348</xdr:colOff>
      <xdr:row>6</xdr:row>
      <xdr:rowOff>123826</xdr:rowOff>
    </xdr:from>
    <xdr:to>
      <xdr:col>8</xdr:col>
      <xdr:colOff>84510</xdr:colOff>
      <xdr:row>11</xdr:row>
      <xdr:rowOff>142876</xdr:rowOff>
    </xdr:to>
    <xdr:sp macro="" textlink="">
      <xdr:nvSpPr>
        <xdr:cNvPr id="6" name="Rectangle 5">
          <a:extLst>
            <a:ext uri="{FF2B5EF4-FFF2-40B4-BE49-F238E27FC236}">
              <a16:creationId xmlns:a16="http://schemas.microsoft.com/office/drawing/2014/main" id="{70D3292D-AD29-C2A9-0F6E-721F27CAEF61}"/>
            </a:ext>
          </a:extLst>
        </xdr:cNvPr>
        <xdr:cNvSpPr/>
      </xdr:nvSpPr>
      <xdr:spPr>
        <a:xfrm>
          <a:off x="2588681" y="1266826"/>
          <a:ext cx="2406496" cy="97155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lvl="0" algn="l"/>
          <a:r>
            <a:rPr lang="en-US" sz="2000" b="1">
              <a:solidFill>
                <a:schemeClr val="bg1"/>
              </a:solidFill>
              <a:latin typeface="Bahnschrift Condensed" panose="020B0502040204020203" pitchFamily="34" charset="0"/>
            </a:rPr>
            <a:t>Total</a:t>
          </a:r>
          <a:br>
            <a:rPr lang="en-US" sz="2000" b="1">
              <a:solidFill>
                <a:schemeClr val="bg1"/>
              </a:solidFill>
              <a:latin typeface="Bahnschrift Condensed" panose="020B0502040204020203" pitchFamily="34" charset="0"/>
            </a:rPr>
          </a:br>
          <a:r>
            <a:rPr lang="en-US" sz="2000" b="1">
              <a:solidFill>
                <a:schemeClr val="bg1"/>
              </a:solidFill>
              <a:latin typeface="Bahnschrift Condensed" panose="020B0502040204020203" pitchFamily="34" charset="0"/>
            </a:rPr>
            <a:t>Sales</a:t>
          </a:r>
        </a:p>
      </xdr:txBody>
    </xdr:sp>
    <xdr:clientData/>
  </xdr:twoCellAnchor>
  <xdr:twoCellAnchor>
    <xdr:from>
      <xdr:col>4</xdr:col>
      <xdr:colOff>133348</xdr:colOff>
      <xdr:row>12</xdr:row>
      <xdr:rowOff>104774</xdr:rowOff>
    </xdr:from>
    <xdr:to>
      <xdr:col>10</xdr:col>
      <xdr:colOff>581025</xdr:colOff>
      <xdr:row>37</xdr:row>
      <xdr:rowOff>190499</xdr:rowOff>
    </xdr:to>
    <xdr:sp macro="" textlink="">
      <xdr:nvSpPr>
        <xdr:cNvPr id="12" name="Rectangle: Rounded Corners 11">
          <a:extLst>
            <a:ext uri="{FF2B5EF4-FFF2-40B4-BE49-F238E27FC236}">
              <a16:creationId xmlns:a16="http://schemas.microsoft.com/office/drawing/2014/main" id="{928A7A94-3304-14AD-1159-E53A77E93E7D}"/>
            </a:ext>
          </a:extLst>
        </xdr:cNvPr>
        <xdr:cNvSpPr/>
      </xdr:nvSpPr>
      <xdr:spPr>
        <a:xfrm>
          <a:off x="2588681" y="2390774"/>
          <a:ext cx="4130677" cy="4848225"/>
        </a:xfrm>
        <a:prstGeom prst="roundRect">
          <a:avLst>
            <a:gd name="adj" fmla="val 1807"/>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200024</xdr:colOff>
      <xdr:row>12</xdr:row>
      <xdr:rowOff>104775</xdr:rowOff>
    </xdr:from>
    <xdr:to>
      <xdr:col>18</xdr:col>
      <xdr:colOff>38101</xdr:colOff>
      <xdr:row>38</xdr:row>
      <xdr:rowOff>9525</xdr:rowOff>
    </xdr:to>
    <xdr:sp macro="" textlink="">
      <xdr:nvSpPr>
        <xdr:cNvPr id="14" name="Rectangle: Rounded Corners 13">
          <a:extLst>
            <a:ext uri="{FF2B5EF4-FFF2-40B4-BE49-F238E27FC236}">
              <a16:creationId xmlns:a16="http://schemas.microsoft.com/office/drawing/2014/main" id="{8EA7704E-4D34-49F0-A602-329BA9C54494}"/>
            </a:ext>
          </a:extLst>
        </xdr:cNvPr>
        <xdr:cNvSpPr/>
      </xdr:nvSpPr>
      <xdr:spPr>
        <a:xfrm>
          <a:off x="6952191" y="2390775"/>
          <a:ext cx="4134910" cy="4857750"/>
        </a:xfrm>
        <a:prstGeom prst="roundRect">
          <a:avLst>
            <a:gd name="adj" fmla="val 2078"/>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2</xdr:row>
      <xdr:rowOff>52917</xdr:rowOff>
    </xdr:from>
    <xdr:to>
      <xdr:col>28</xdr:col>
      <xdr:colOff>581025</xdr:colOff>
      <xdr:row>6</xdr:row>
      <xdr:rowOff>19050</xdr:rowOff>
    </xdr:to>
    <xdr:sp macro="" textlink="">
      <xdr:nvSpPr>
        <xdr:cNvPr id="2" name="Rectangle 1">
          <a:extLst>
            <a:ext uri="{FF2B5EF4-FFF2-40B4-BE49-F238E27FC236}">
              <a16:creationId xmlns:a16="http://schemas.microsoft.com/office/drawing/2014/main" id="{3CE59FD4-DB10-C5BD-F86A-A1A0068F3E72}"/>
            </a:ext>
          </a:extLst>
        </xdr:cNvPr>
        <xdr:cNvSpPr/>
      </xdr:nvSpPr>
      <xdr:spPr>
        <a:xfrm>
          <a:off x="76200" y="433917"/>
          <a:ext cx="17692158" cy="728133"/>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2700">
          <a:solidFill>
            <a:schemeClr val="tx1"/>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4400" b="1">
              <a:latin typeface="Bahnschrift" panose="020B0502040204020203" pitchFamily="34" charset="0"/>
            </a:rPr>
            <a:t>Electronics</a:t>
          </a:r>
          <a:r>
            <a:rPr lang="en-US" sz="4400" b="1" baseline="0">
              <a:latin typeface="Bahnschrift" panose="020B0502040204020203" pitchFamily="34" charset="0"/>
            </a:rPr>
            <a:t> &amp; Accessories Sales Dashboard</a:t>
          </a:r>
          <a:endParaRPr lang="en-US" sz="4400" b="1">
            <a:latin typeface="Bahnschrift" panose="020B0502040204020203" pitchFamily="34" charset="0"/>
          </a:endParaRPr>
        </a:p>
      </xdr:txBody>
    </xdr:sp>
    <xdr:clientData/>
  </xdr:twoCellAnchor>
  <xdr:twoCellAnchor>
    <xdr:from>
      <xdr:col>0</xdr:col>
      <xdr:colOff>66675</xdr:colOff>
      <xdr:row>6</xdr:row>
      <xdr:rowOff>139699</xdr:rowOff>
    </xdr:from>
    <xdr:to>
      <xdr:col>3</xdr:col>
      <xdr:colOff>400050</xdr:colOff>
      <xdr:row>37</xdr:row>
      <xdr:rowOff>179916</xdr:rowOff>
    </xdr:to>
    <xdr:sp macro="" textlink="">
      <xdr:nvSpPr>
        <xdr:cNvPr id="4" name="Rectangle: Rounded Corners 3">
          <a:extLst>
            <a:ext uri="{FF2B5EF4-FFF2-40B4-BE49-F238E27FC236}">
              <a16:creationId xmlns:a16="http://schemas.microsoft.com/office/drawing/2014/main" id="{8181154B-6BA4-0EF0-2EFA-B915E70F572D}"/>
            </a:ext>
          </a:extLst>
        </xdr:cNvPr>
        <xdr:cNvSpPr/>
      </xdr:nvSpPr>
      <xdr:spPr>
        <a:xfrm>
          <a:off x="66675" y="1282699"/>
          <a:ext cx="2174875" cy="5945717"/>
        </a:xfrm>
        <a:prstGeom prst="roundRect">
          <a:avLst>
            <a:gd name="adj" fmla="val 4502"/>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266700</xdr:colOff>
      <xdr:row>6</xdr:row>
      <xdr:rowOff>114299</xdr:rowOff>
    </xdr:from>
    <xdr:to>
      <xdr:col>28</xdr:col>
      <xdr:colOff>581025</xdr:colOff>
      <xdr:row>38</xdr:row>
      <xdr:rowOff>9525</xdr:rowOff>
    </xdr:to>
    <xdr:sp macro="" textlink="">
      <xdr:nvSpPr>
        <xdr:cNvPr id="13" name="Rectangle: Rounded Corners 12">
          <a:extLst>
            <a:ext uri="{FF2B5EF4-FFF2-40B4-BE49-F238E27FC236}">
              <a16:creationId xmlns:a16="http://schemas.microsoft.com/office/drawing/2014/main" id="{91D99C9C-1487-4E69-BA84-5B2C35F5F99C}"/>
            </a:ext>
          </a:extLst>
        </xdr:cNvPr>
        <xdr:cNvSpPr/>
      </xdr:nvSpPr>
      <xdr:spPr>
        <a:xfrm>
          <a:off x="11315700" y="1257299"/>
          <a:ext cx="6452658" cy="5991226"/>
        </a:xfrm>
        <a:prstGeom prst="roundRect">
          <a:avLst>
            <a:gd name="adj" fmla="val 1299"/>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38</xdr:row>
      <xdr:rowOff>104776</xdr:rowOff>
    </xdr:from>
    <xdr:to>
      <xdr:col>28</xdr:col>
      <xdr:colOff>581025</xdr:colOff>
      <xdr:row>40</xdr:row>
      <xdr:rowOff>104776</xdr:rowOff>
    </xdr:to>
    <xdr:sp macro="" textlink="">
      <xdr:nvSpPr>
        <xdr:cNvPr id="26" name="Rectangle 25">
          <a:extLst>
            <a:ext uri="{FF2B5EF4-FFF2-40B4-BE49-F238E27FC236}">
              <a16:creationId xmlns:a16="http://schemas.microsoft.com/office/drawing/2014/main" id="{3563B342-5947-4754-A06A-FE92DD76728F}"/>
            </a:ext>
          </a:extLst>
        </xdr:cNvPr>
        <xdr:cNvSpPr/>
      </xdr:nvSpPr>
      <xdr:spPr>
        <a:xfrm>
          <a:off x="76200" y="7343776"/>
          <a:ext cx="17573625" cy="38100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352425</xdr:colOff>
      <xdr:row>7</xdr:row>
      <xdr:rowOff>133350</xdr:rowOff>
    </xdr:from>
    <xdr:to>
      <xdr:col>7</xdr:col>
      <xdr:colOff>447675</xdr:colOff>
      <xdr:row>10</xdr:row>
      <xdr:rowOff>142875</xdr:rowOff>
    </xdr:to>
    <xdr:sp macro="" textlink="PivotTable!K34">
      <xdr:nvSpPr>
        <xdr:cNvPr id="32" name="TextBox 31">
          <a:extLst>
            <a:ext uri="{FF2B5EF4-FFF2-40B4-BE49-F238E27FC236}">
              <a16:creationId xmlns:a16="http://schemas.microsoft.com/office/drawing/2014/main" id="{A107A17A-BBA9-42A3-550C-282BC6865882}"/>
            </a:ext>
          </a:extLst>
        </xdr:cNvPr>
        <xdr:cNvSpPr txBox="1"/>
      </xdr:nvSpPr>
      <xdr:spPr>
        <a:xfrm>
          <a:off x="3400425" y="1466850"/>
          <a:ext cx="1314450" cy="581025"/>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A1A50FCE-0001-486D-9CE4-88E2A7AA59DE}" type="TxLink">
            <a:rPr lang="en-US" sz="2800" b="1" i="0" u="none" strike="noStrike"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pPr algn="ctr"/>
            <a:t>6000</a:t>
          </a:fld>
          <a:endParaRPr lang="en-US" sz="2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twoCellAnchor>
  <xdr:twoCellAnchor>
    <xdr:from>
      <xdr:col>9</xdr:col>
      <xdr:colOff>38099</xdr:colOff>
      <xdr:row>6</xdr:row>
      <xdr:rowOff>123826</xdr:rowOff>
    </xdr:from>
    <xdr:to>
      <xdr:col>12</xdr:col>
      <xdr:colOff>598861</xdr:colOff>
      <xdr:row>11</xdr:row>
      <xdr:rowOff>142876</xdr:rowOff>
    </xdr:to>
    <xdr:sp macro="" textlink="">
      <xdr:nvSpPr>
        <xdr:cNvPr id="33" name="Rectangle 32">
          <a:extLst>
            <a:ext uri="{FF2B5EF4-FFF2-40B4-BE49-F238E27FC236}">
              <a16:creationId xmlns:a16="http://schemas.microsoft.com/office/drawing/2014/main" id="{66BD417E-6890-406B-B68F-9871AA4F1428}"/>
            </a:ext>
          </a:extLst>
        </xdr:cNvPr>
        <xdr:cNvSpPr/>
      </xdr:nvSpPr>
      <xdr:spPr>
        <a:xfrm>
          <a:off x="5524499" y="1266826"/>
          <a:ext cx="2389562" cy="97155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lvl="0" algn="l"/>
          <a:r>
            <a:rPr lang="en-US" sz="2000" b="1">
              <a:solidFill>
                <a:schemeClr val="bg1"/>
              </a:solidFill>
              <a:latin typeface="Bahnschrift Condensed" panose="020B0502040204020203" pitchFamily="34" charset="0"/>
            </a:rPr>
            <a:t>Order </a:t>
          </a:r>
          <a:br>
            <a:rPr lang="en-US" sz="2000" b="1">
              <a:solidFill>
                <a:schemeClr val="bg1"/>
              </a:solidFill>
              <a:latin typeface="Bahnschrift Condensed" panose="020B0502040204020203" pitchFamily="34" charset="0"/>
            </a:rPr>
          </a:br>
          <a:r>
            <a:rPr lang="en-US" sz="2000" b="1">
              <a:solidFill>
                <a:schemeClr val="bg1"/>
              </a:solidFill>
              <a:latin typeface="Bahnschrift Condensed" panose="020B0502040204020203" pitchFamily="34" charset="0"/>
            </a:rPr>
            <a:t>Count</a:t>
          </a:r>
        </a:p>
      </xdr:txBody>
    </xdr:sp>
    <xdr:clientData/>
  </xdr:twoCellAnchor>
  <xdr:twoCellAnchor>
    <xdr:from>
      <xdr:col>13</xdr:col>
      <xdr:colOff>552450</xdr:colOff>
      <xdr:row>6</xdr:row>
      <xdr:rowOff>123826</xdr:rowOff>
    </xdr:from>
    <xdr:to>
      <xdr:col>17</xdr:col>
      <xdr:colOff>503612</xdr:colOff>
      <xdr:row>11</xdr:row>
      <xdr:rowOff>142876</xdr:rowOff>
    </xdr:to>
    <xdr:sp macro="" textlink="">
      <xdr:nvSpPr>
        <xdr:cNvPr id="34" name="Rectangle 33">
          <a:extLst>
            <a:ext uri="{FF2B5EF4-FFF2-40B4-BE49-F238E27FC236}">
              <a16:creationId xmlns:a16="http://schemas.microsoft.com/office/drawing/2014/main" id="{2DBDF1D1-7B35-4F26-9F03-F3AB447E4D93}"/>
            </a:ext>
          </a:extLst>
        </xdr:cNvPr>
        <xdr:cNvSpPr/>
      </xdr:nvSpPr>
      <xdr:spPr>
        <a:xfrm>
          <a:off x="8477250" y="1266826"/>
          <a:ext cx="2389562" cy="97155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lvl="0" algn="l"/>
          <a:r>
            <a:rPr lang="en-US" sz="2000" b="1">
              <a:solidFill>
                <a:schemeClr val="bg1"/>
              </a:solidFill>
              <a:latin typeface="Bahnschrift Condensed" panose="020B0502040204020203" pitchFamily="34" charset="0"/>
            </a:rPr>
            <a:t>Total</a:t>
          </a:r>
          <a:br>
            <a:rPr lang="en-US" sz="2000" b="1">
              <a:solidFill>
                <a:schemeClr val="bg1"/>
              </a:solidFill>
              <a:latin typeface="Bahnschrift Condensed" panose="020B0502040204020203" pitchFamily="34" charset="0"/>
            </a:rPr>
          </a:br>
          <a:r>
            <a:rPr lang="en-US" sz="2000" b="1">
              <a:solidFill>
                <a:schemeClr val="bg1"/>
              </a:solidFill>
              <a:latin typeface="Bahnschrift Condensed" panose="020B0502040204020203" pitchFamily="34" charset="0"/>
            </a:rPr>
            <a:t>Quantity</a:t>
          </a:r>
        </a:p>
      </xdr:txBody>
    </xdr:sp>
    <xdr:clientData/>
  </xdr:twoCellAnchor>
  <xdr:twoCellAnchor>
    <xdr:from>
      <xdr:col>10</xdr:col>
      <xdr:colOff>276225</xdr:colOff>
      <xdr:row>7</xdr:row>
      <xdr:rowOff>133350</xdr:rowOff>
    </xdr:from>
    <xdr:to>
      <xdr:col>12</xdr:col>
      <xdr:colOff>371475</xdr:colOff>
      <xdr:row>10</xdr:row>
      <xdr:rowOff>142875</xdr:rowOff>
    </xdr:to>
    <xdr:sp macro="" textlink="PivotTable!K35">
      <xdr:nvSpPr>
        <xdr:cNvPr id="35" name="TextBox 34">
          <a:extLst>
            <a:ext uri="{FF2B5EF4-FFF2-40B4-BE49-F238E27FC236}">
              <a16:creationId xmlns:a16="http://schemas.microsoft.com/office/drawing/2014/main" id="{489041EA-D0FC-4B12-A2DB-D51E7C8907B0}"/>
            </a:ext>
          </a:extLst>
        </xdr:cNvPr>
        <xdr:cNvSpPr txBox="1"/>
      </xdr:nvSpPr>
      <xdr:spPr>
        <a:xfrm>
          <a:off x="6372225" y="1466850"/>
          <a:ext cx="1314450" cy="581025"/>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FFFD532C-1E4A-4058-9EB4-7C6EA63C58F8}" type="TxLink">
            <a:rPr lang="en-US" sz="2800" b="1" i="0" u="none" strike="noStrike"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pPr algn="ctr"/>
            <a:t>4</a:t>
          </a:fld>
          <a:endParaRPr lang="en-US" sz="6000" b="1" i="0" u="none" strike="noStrike"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twoCellAnchor>
  <xdr:twoCellAnchor>
    <xdr:from>
      <xdr:col>15</xdr:col>
      <xdr:colOff>200025</xdr:colOff>
      <xdr:row>7</xdr:row>
      <xdr:rowOff>133350</xdr:rowOff>
    </xdr:from>
    <xdr:to>
      <xdr:col>17</xdr:col>
      <xdr:colOff>295275</xdr:colOff>
      <xdr:row>10</xdr:row>
      <xdr:rowOff>142875</xdr:rowOff>
    </xdr:to>
    <xdr:sp macro="" textlink="PivotTable!K36">
      <xdr:nvSpPr>
        <xdr:cNvPr id="36" name="TextBox 35">
          <a:extLst>
            <a:ext uri="{FF2B5EF4-FFF2-40B4-BE49-F238E27FC236}">
              <a16:creationId xmlns:a16="http://schemas.microsoft.com/office/drawing/2014/main" id="{63F4F863-DA7D-4A0F-B247-54049113455F}"/>
            </a:ext>
          </a:extLst>
        </xdr:cNvPr>
        <xdr:cNvSpPr txBox="1"/>
      </xdr:nvSpPr>
      <xdr:spPr>
        <a:xfrm>
          <a:off x="9344025" y="1466850"/>
          <a:ext cx="1314450" cy="581025"/>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A6698D9E-2D26-4F0A-B4BD-D7CE743D1C85}" type="TxLink">
            <a:rPr lang="en-US" sz="2800" b="1" i="0" u="none" strike="noStrike" cap="none" spc="0">
              <a:ln w="0"/>
              <a:solidFill>
                <a:srgbClr val="000000"/>
              </a:solidFill>
              <a:effectLst>
                <a:outerShdw blurRad="38100" dist="19050" dir="2700000" algn="tl" rotWithShape="0">
                  <a:schemeClr val="dk1">
                    <a:alpha val="40000"/>
                  </a:schemeClr>
                </a:outerShdw>
              </a:effectLst>
              <a:latin typeface="Bahnschrift" panose="020B0502040204020203" pitchFamily="34" charset="0"/>
            </a:rPr>
            <a:pPr algn="ctr"/>
            <a:t>12</a:t>
          </a:fld>
          <a:endParaRPr lang="en-US" sz="6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twoCellAnchor>
  <xdr:twoCellAnchor>
    <xdr:from>
      <xdr:col>0</xdr:col>
      <xdr:colOff>156501</xdr:colOff>
      <xdr:row>7</xdr:row>
      <xdr:rowOff>55297</xdr:rowOff>
    </xdr:from>
    <xdr:to>
      <xdr:col>3</xdr:col>
      <xdr:colOff>297788</xdr:colOff>
      <xdr:row>15</xdr:row>
      <xdr:rowOff>75935</xdr:rowOff>
    </xdr:to>
    <mc:AlternateContent xmlns:mc="http://schemas.openxmlformats.org/markup-compatibility/2006">
      <mc:Choice xmlns:a14="http://schemas.microsoft.com/office/drawing/2010/main" Requires="a14">
        <xdr:graphicFrame macro="">
          <xdr:nvGraphicFramePr>
            <xdr:cNvPr id="29" name="Region 2">
              <a:extLst>
                <a:ext uri="{FF2B5EF4-FFF2-40B4-BE49-F238E27FC236}">
                  <a16:creationId xmlns:a16="http://schemas.microsoft.com/office/drawing/2014/main" id="{F6E7BBA9-B998-47EE-A0B1-6F543106968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56501" y="1388797"/>
              <a:ext cx="1982787" cy="1544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177667</xdr:colOff>
      <xdr:row>24</xdr:row>
      <xdr:rowOff>71965</xdr:rowOff>
    </xdr:from>
    <xdr:to>
      <xdr:col>3</xdr:col>
      <xdr:colOff>276621</xdr:colOff>
      <xdr:row>35</xdr:row>
      <xdr:rowOff>176739</xdr:rowOff>
    </xdr:to>
    <mc:AlternateContent xmlns:mc="http://schemas.openxmlformats.org/markup-compatibility/2006">
      <mc:Choice xmlns:a14="http://schemas.microsoft.com/office/drawing/2010/main" Requires="a14">
        <xdr:graphicFrame macro="">
          <xdr:nvGraphicFramePr>
            <xdr:cNvPr id="37" name="Product Name 1">
              <a:extLst>
                <a:ext uri="{FF2B5EF4-FFF2-40B4-BE49-F238E27FC236}">
                  <a16:creationId xmlns:a16="http://schemas.microsoft.com/office/drawing/2014/main" id="{D2A27E5E-4D0E-4325-A4C2-645EC70F05CE}"/>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177667" y="4643965"/>
              <a:ext cx="1940454" cy="220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158353</xdr:colOff>
      <xdr:row>17</xdr:row>
      <xdr:rowOff>52056</xdr:rowOff>
    </xdr:from>
    <xdr:to>
      <xdr:col>3</xdr:col>
      <xdr:colOff>295936</xdr:colOff>
      <xdr:row>22</xdr:row>
      <xdr:rowOff>95845</xdr:rowOff>
    </xdr:to>
    <mc:AlternateContent xmlns:mc="http://schemas.openxmlformats.org/markup-compatibility/2006">
      <mc:Choice xmlns:a14="http://schemas.microsoft.com/office/drawing/2010/main" Requires="a14">
        <xdr:graphicFrame macro="">
          <xdr:nvGraphicFramePr>
            <xdr:cNvPr id="38" name="Category 1">
              <a:extLst>
                <a:ext uri="{FF2B5EF4-FFF2-40B4-BE49-F238E27FC236}">
                  <a16:creationId xmlns:a16="http://schemas.microsoft.com/office/drawing/2014/main" id="{8659AD60-F6E6-4AFE-92F2-96D09AE80B3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8353" y="3290556"/>
              <a:ext cx="1979083" cy="996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190500</xdr:colOff>
      <xdr:row>12</xdr:row>
      <xdr:rowOff>148167</xdr:rowOff>
    </xdr:from>
    <xdr:to>
      <xdr:col>10</xdr:col>
      <xdr:colOff>518584</xdr:colOff>
      <xdr:row>37</xdr:row>
      <xdr:rowOff>137583</xdr:rowOff>
    </xdr:to>
    <xdr:graphicFrame macro="">
      <xdr:nvGraphicFramePr>
        <xdr:cNvPr id="40" name="Chart 39">
          <a:extLst>
            <a:ext uri="{FF2B5EF4-FFF2-40B4-BE49-F238E27FC236}">
              <a16:creationId xmlns:a16="http://schemas.microsoft.com/office/drawing/2014/main" id="{289158F5-2CFE-44B5-8C14-46CD4715B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251354</xdr:colOff>
      <xdr:row>12</xdr:row>
      <xdr:rowOff>148168</xdr:rowOff>
    </xdr:from>
    <xdr:to>
      <xdr:col>17</xdr:col>
      <xdr:colOff>600604</xdr:colOff>
      <xdr:row>37</xdr:row>
      <xdr:rowOff>137584</xdr:rowOff>
    </xdr:to>
    <xdr:graphicFrame macro="">
      <xdr:nvGraphicFramePr>
        <xdr:cNvPr id="41" name="Chart 40">
          <a:extLst>
            <a:ext uri="{FF2B5EF4-FFF2-40B4-BE49-F238E27FC236}">
              <a16:creationId xmlns:a16="http://schemas.microsoft.com/office/drawing/2014/main" id="{56D7D151-D935-4DCF-B1B7-83DFBF915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306917</xdr:colOff>
      <xdr:row>6</xdr:row>
      <xdr:rowOff>158750</xdr:rowOff>
    </xdr:from>
    <xdr:to>
      <xdr:col>28</xdr:col>
      <xdr:colOff>529167</xdr:colOff>
      <xdr:row>37</xdr:row>
      <xdr:rowOff>137583</xdr:rowOff>
    </xdr:to>
    <xdr:graphicFrame macro="">
      <xdr:nvGraphicFramePr>
        <xdr:cNvPr id="43" name="Chart 42">
          <a:extLst>
            <a:ext uri="{FF2B5EF4-FFF2-40B4-BE49-F238E27FC236}">
              <a16:creationId xmlns:a16="http://schemas.microsoft.com/office/drawing/2014/main" id="{C6F7EA65-27CD-49BB-8A0A-7C27EA4E0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4.044395717596" backgroundQuery="1" createdVersion="8" refreshedVersion="8" minRefreshableVersion="3" recordCount="0" supportSubquery="1" supportAdvancedDrill="1" xr:uid="{EE4789DC-1C3E-4FA2-B01B-EE102C7312DF}">
  <cacheSource type="external" connectionId="1"/>
  <cacheFields count="8">
    <cacheField name="[Customers].[Customer Name].[Customer Name]" caption="Customer Name" numFmtId="0" hierarchy="1" level="1">
      <sharedItems count="4">
        <s v="Chowdhury"/>
        <s v="Mamun"/>
        <s v="Rafi"/>
        <s v="Tasin"/>
      </sharedItems>
    </cacheField>
    <cacheField name="[Products].[Product Name].[Product Name]" caption="Product Name" numFmtId="0" hierarchy="4" level="1">
      <sharedItems count="1">
        <s v="Mouse"/>
      </sharedItems>
    </cacheField>
    <cacheField name="[Measures].[Sum of Quantity]" caption="Sum of Quantity" numFmtId="0" hierarchy="23" level="32767"/>
    <cacheField name="[Measures].[Total Quantity]" caption="Total Quantity" numFmtId="0" hierarchy="14" level="32767"/>
    <cacheField name="[Measures].[Average Quantity]" caption="Average Quantity" numFmtId="0" hierarchy="15" level="32767"/>
    <cacheField name="[Measures].[Order Count]" caption="Order Count" numFmtId="0" hierarchy="16" level="32767"/>
    <cacheField name="[Measures].[Distinct Order Count]" caption="Distinct Order Count" numFmtId="0" hierarchy="17" level="32767"/>
    <cacheField name="[Measures].[Total Sales]" caption="Total Sales" numFmtId="0" hierarchy="18" level="32767"/>
  </cacheFields>
  <cacheHierarchies count="27">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oneField="1">
      <fieldsUsage count="1">
        <fieldUsage x="3"/>
      </fieldsUsage>
    </cacheHierarchy>
    <cacheHierarchy uniqueName="[Measures].[Average Quantity]" caption="Average Quantity" measure="1" displayFolder="" measureGroup="Sales" count="0" oneField="1">
      <fieldsUsage count="1">
        <fieldUsage x="4"/>
      </fieldsUsage>
    </cacheHierarchy>
    <cacheHierarchy uniqueName="[Measures].[Order Count]" caption="Order Count" measure="1" displayFolder="" measureGroup="Sales" count="0" oneField="1">
      <fieldsUsage count="1">
        <fieldUsage x="5"/>
      </fieldsUsage>
    </cacheHierarchy>
    <cacheHierarchy uniqueName="[Measures].[Distinct Order Count]" caption="Distinct Order Count" measure="1" displayFolder="" measureGroup="Sales" count="0" oneField="1">
      <fieldsUsage count="1">
        <fieldUsage x="6"/>
      </fieldsUsage>
    </cacheHierarchy>
    <cacheHierarchy uniqueName="[Measures].[Total Sales]" caption="Total Sales" measure="1" displayFolder="" measureGroup="Sales" count="0" oneField="1">
      <fieldsUsage count="1">
        <fieldUsage x="7"/>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4.044396180558" backgroundQuery="1" createdVersion="8" refreshedVersion="8" minRefreshableVersion="3" recordCount="0" supportSubquery="1" supportAdvancedDrill="1" xr:uid="{77AF85C1-DBAE-4F86-9C25-69F25931FDFD}">
  <cacheSource type="external" connectionId="1"/>
  <cacheFields count="3">
    <cacheField name="[Customers].[Region].[Region]" caption="Region" numFmtId="0" hierarchy="2" level="1">
      <sharedItems count="4">
        <s v="Chattogram"/>
        <s v="Comilla"/>
        <s v="Dhaka"/>
        <s v="Khulna"/>
      </sharedItems>
    </cacheField>
    <cacheField name="[Measures].[Total Sales]" caption="Total Sales" numFmtId="0" hierarchy="18" level="32767"/>
    <cacheField name="[Products].[Product Name].[Product Name]" caption="Product Name" numFmtId="0" hierarchy="4" level="1">
      <sharedItems containsSemiMixedTypes="0" containsNonDate="0" containsString="0"/>
    </cacheField>
  </cacheFields>
  <cacheHierarchies count="27">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Average Quantity]" caption="Average Quantity" measure="1" displayFolder="" measureGroup="Sales" count="0"/>
    <cacheHierarchy uniqueName="[Measures].[Order Count]" caption="Order Count" measure="1" displayFolder="" measureGroup="Sales" count="0"/>
    <cacheHierarchy uniqueName="[Measures].[Distinct Order Count]" caption="Distinct Order Count" measure="1" displayFolder="" measureGroup="Sales" count="0"/>
    <cacheHierarchy uniqueName="[Measures].[Total Sales]" caption="Total Sales" measure="1" displayFolder="" measureGroup="Sales" count="0" oneField="1">
      <fieldsUsage count="1">
        <fieldUsage x="1"/>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4.044396527781" backgroundQuery="1" createdVersion="8" refreshedVersion="8" minRefreshableVersion="3" recordCount="0" supportSubquery="1" supportAdvancedDrill="1" xr:uid="{61D74FF6-04C0-4FDD-AFA7-DBDB8C60C4F5}">
  <cacheSource type="external" connectionId="1"/>
  <cacheFields count="2">
    <cacheField name="[Products].[Product Name].[Product Name]" caption="Product Name" numFmtId="0" hierarchy="4" level="1">
      <sharedItems count="6">
        <s v="Mouse"/>
        <s v="Monitor" u="1"/>
        <s v="Laptop" u="1"/>
        <s v="Keyboard" u="1"/>
        <s v="Mobile" u="1"/>
        <s v="Tablet" u="1"/>
      </sharedItems>
    </cacheField>
    <cacheField name="[Measures].[Total Sales]" caption="Total Sales" numFmtId="0" hierarchy="18" level="32767"/>
  </cacheFields>
  <cacheHierarchies count="27">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Average Quantity]" caption="Average Quantity" measure="1" displayFolder="" measureGroup="Sales" count="0"/>
    <cacheHierarchy uniqueName="[Measures].[Order Count]" caption="Order Count" measure="1" displayFolder="" measureGroup="Sales" count="0"/>
    <cacheHierarchy uniqueName="[Measures].[Distinct Order Count]" caption="Distinct Order Count" measure="1" displayFolder="" measureGroup="Sales" count="0"/>
    <cacheHierarchy uniqueName="[Measures].[Total Sales]" caption="Total Sales" measure="1" displayFolder="" measureGroup="Sales" count="0" oneField="1">
      <fieldsUsage count="1">
        <fieldUsage x="1"/>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4.044396874997" backgroundQuery="1" createdVersion="8" refreshedVersion="8" minRefreshableVersion="3" recordCount="0" supportSubquery="1" supportAdvancedDrill="1" xr:uid="{ADA421EB-8915-4121-8B32-46DD8A006B28}">
  <cacheSource type="external" connectionId="1"/>
  <cacheFields count="4">
    <cacheField name="[Sales].[Order Date (Month)].[Order Date (Month)]" caption="Order Date (Month)" numFmtId="0" hierarchy="12" level="1">
      <sharedItems count="5">
        <s v="Mar"/>
        <s v="Apr"/>
        <s v="May"/>
        <s v="Jun" u="1"/>
        <s v="Jul" u="1"/>
      </sharedItems>
    </cacheField>
    <cacheField name="[Measures].[Count of Order ID]" caption="Count of Order ID" numFmtId="0" hierarchy="26" level="32767"/>
    <cacheField name="[Measures].[Total Sales]" caption="Total Sales" numFmtId="0" hierarchy="18" level="32767"/>
    <cacheField name="[Products].[Product Name].[Product Name]" caption="Product Name" numFmtId="0" hierarchy="4" level="1">
      <sharedItems containsSemiMixedTypes="0" containsNonDate="0" containsString="0"/>
    </cacheField>
  </cacheFields>
  <cacheHierarchies count="27">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0"/>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Average Quantity]" caption="Average Quantity" measure="1" displayFolder="" measureGroup="Sales" count="0"/>
    <cacheHierarchy uniqueName="[Measures].[Order Count]" caption="Order Count" measure="1" displayFolder="" measureGroup="Sales" count="0"/>
    <cacheHierarchy uniqueName="[Measures].[Distinct Order Count]" caption="Distinct Order Count" measure="1" displayFolder="" measureGroup="Sales" count="0"/>
    <cacheHierarchy uniqueName="[Measures].[Total Sales]" caption="Total Sales" measure="1" displayFolder="" measureGroup="Sales" count="0" oneField="1">
      <fieldsUsage count="1">
        <fieldUsage x="2"/>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2.024552083334" backgroundQuery="1" createdVersion="3" refreshedVersion="8" minRefreshableVersion="3" recordCount="0" supportSubquery="1" supportAdvancedDrill="1" xr:uid="{EC836D55-0AEF-486C-BC69-54B35B556841}">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Average Quantity]" caption="Average Quantity" measure="1" displayFolder="" measureGroup="Sales" count="0"/>
    <cacheHierarchy uniqueName="[Measures].[Order Count]" caption="Order Count" measure="1" displayFolder="" measureGroup="Sales" count="0"/>
    <cacheHierarchy uniqueName="[Measures].[Distinct Order Count]" caption="Distinct Order Count" measure="1" displayFolder="" measureGroup="Sales" count="0"/>
    <cacheHierarchy uniqueName="[Measures].[Total Sales]" caption="Total Sales"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63449022"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DDD03B-CA18-4B73-8771-FCF86B433507}" name="PivotTable1" cacheId="581" applyNumberFormats="0" applyBorderFormats="0" applyFontFormats="0" applyPatternFormats="0" applyAlignmentFormats="0" applyWidthHeightFormats="1" dataCaption="Values" tag="33488c7f-eb29-4515-99f0-a391c7e345f1" updatedVersion="8" minRefreshableVersion="3" useAutoFormatting="1" subtotalHiddenItems="1" itemPrintTitles="1" createdVersion="8" indent="0" compact="0" compactData="0" multipleFieldFilters="0">
  <location ref="A3:H12" firstHeaderRow="0" firstDataRow="1" firstDataCol="2"/>
  <pivotFields count="8">
    <pivotField axis="axisRow" compact="0" allDrilled="1" outline="0" subtotalTop="0" showAll="0" dataSourceSort="1" defaultAttributeDrillState="1">
      <items count="5">
        <item x="0"/>
        <item x="1"/>
        <item x="2"/>
        <item x="3"/>
        <item t="default"/>
      </items>
    </pivotField>
    <pivotField axis="axisRow" compact="0" allDrilled="1" outline="0" subtotalTop="0" showAll="0" dataSourceSort="1" defaultAttributeDrillState="1">
      <items count="2">
        <item s="1" x="0"/>
        <item t="default"/>
      </items>
    </pivotField>
    <pivotField dataField="1" compact="0" outline="0" subtotalTop="0" showAll="0" defaultSubtota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s>
  <rowFields count="2">
    <field x="0"/>
    <field x="1"/>
  </rowFields>
  <rowItems count="9">
    <i>
      <x/>
      <x/>
    </i>
    <i t="default">
      <x/>
    </i>
    <i>
      <x v="1"/>
      <x/>
    </i>
    <i t="default">
      <x v="1"/>
    </i>
    <i>
      <x v="2"/>
      <x/>
    </i>
    <i t="default">
      <x v="2"/>
    </i>
    <i>
      <x v="3"/>
      <x/>
    </i>
    <i t="default">
      <x v="3"/>
    </i>
    <i t="grand">
      <x/>
    </i>
  </rowItems>
  <colFields count="1">
    <field x="-2"/>
  </colFields>
  <colItems count="6">
    <i>
      <x/>
    </i>
    <i i="1">
      <x v="1"/>
    </i>
    <i i="2">
      <x v="2"/>
    </i>
    <i i="3">
      <x v="3"/>
    </i>
    <i i="4">
      <x v="4"/>
    </i>
    <i i="5">
      <x v="5"/>
    </i>
  </colItems>
  <dataFields count="6">
    <dataField name="Sum of Quantity" fld="2"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2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5FC93-65B3-46C7-914C-5A7A8E8211E6}" name="PivotTable4" cacheId="5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37:I41"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Order ID" fld="1" subtotal="count" baseField="0" baseItem="0"/>
    <dataField fld="2" subtotal="count" baseField="0" baseItem="0"/>
  </dataFields>
  <chartFormats count="10">
    <chartFormat chart="2" format="55" series="1">
      <pivotArea type="data" outline="0" fieldPosition="0">
        <references count="1">
          <reference field="4294967294" count="1" selected="0">
            <x v="0"/>
          </reference>
        </references>
      </pivotArea>
    </chartFormat>
    <chartFormat chart="1" format="58" series="1">
      <pivotArea type="data" outline="0" fieldPosition="0">
        <references count="1">
          <reference field="4294967294" count="1" selected="0">
            <x v="0"/>
          </reference>
        </references>
      </pivotArea>
    </chartFormat>
    <chartFormat chart="2" format="56" series="1">
      <pivotArea type="data" outline="0" fieldPosition="0">
        <references count="1">
          <reference field="4294967294" count="1" selected="0">
            <x v="1"/>
          </reference>
        </references>
      </pivotArea>
    </chartFormat>
    <chartFormat chart="1" format="59" series="1">
      <pivotArea type="data" outline="0" fieldPosition="0">
        <references count="1">
          <reference field="4294967294" count="1" selected="0">
            <x v="1"/>
          </reference>
        </references>
      </pivotArea>
    </chartFormat>
    <chartFormat chart="2" format="57">
      <pivotArea type="data" outline="0" fieldPosition="0">
        <references count="2">
          <reference field="4294967294" count="1" selected="0">
            <x v="0"/>
          </reference>
          <reference field="0" count="1" selected="0">
            <x v="4"/>
          </reference>
        </references>
      </pivotArea>
    </chartFormat>
    <chartFormat chart="2" format="58">
      <pivotArea type="data" outline="0" fieldPosition="0">
        <references count="2">
          <reference field="4294967294" count="1" selected="0">
            <x v="1"/>
          </reference>
          <reference field="0" count="1" selected="0">
            <x v="4"/>
          </reference>
        </references>
      </pivotArea>
    </chartFormat>
    <chartFormat chart="2" format="57">
      <pivotArea type="data" outline="0" fieldPosition="0">
        <references count="2">
          <reference field="4294967294" count="1" selected="0">
            <x v="1"/>
          </reference>
          <reference field="0" count="1" selected="0">
            <x v="2"/>
          </reference>
        </references>
      </pivotArea>
    </chartFormat>
    <chartFormat chart="2" format="58">
      <pivotArea type="data" outline="0" fieldPosition="0">
        <references count="2">
          <reference field="4294967294" count="1" selected="0">
            <x v="1"/>
          </reference>
          <reference field="0" count="1" selected="0">
            <x v="0"/>
          </reference>
        </references>
      </pivotArea>
    </chartFormat>
    <chartFormat chart="2" format="59">
      <pivotArea type="data" outline="0" fieldPosition="0">
        <references count="2">
          <reference field="4294967294" count="1" selected="0">
            <x v="1"/>
          </reference>
          <reference field="0" count="1" selected="0">
            <x v="1"/>
          </reference>
        </references>
      </pivotArea>
    </chartFormat>
    <chartFormat chart="2" format="60">
      <pivotArea type="data" outline="0" fieldPosition="0">
        <references count="2">
          <reference field="4294967294" count="1" selected="0">
            <x v="1"/>
          </reference>
          <reference field="0" count="1" selected="0">
            <x v="3"/>
          </reference>
        </references>
      </pivotArea>
    </chartFormat>
  </chartFormats>
  <pivotHierarchies count="27">
    <pivotHierarchy dragToData="1"/>
    <pivotHierarchy dragToData="1"/>
    <pivotHierarchy multipleItemSelectionAllowed="1" dragToData="1"/>
    <pivotHierarchy dragToData="1"/>
    <pivotHierarchy multipleItemSelectionAllowed="1" dragToData="1">
      <members count="1" level="1">
        <member name="[Products].[Product Name].&amp;[Mous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79DFED-9143-4159-BC06-12D0EE6588A5}" name="PivotTable3" cacheId="587" applyNumberFormats="0" applyBorderFormats="0" applyFontFormats="0" applyPatternFormats="0" applyAlignmentFormats="0" applyWidthHeightFormats="1" dataCaption="Values" tag="c70712b4-f8b3-4e6b-bcce-8236abdf5597" updatedVersion="8" minRefreshableVersion="3" useAutoFormatting="1" subtotalHiddenItems="1" itemPrintTitles="1" createdVersion="8" indent="0" outline="1" outlineData="1" multipleFieldFilters="0" chartFormat="22">
  <location ref="D37:E39" firstHeaderRow="1" firstDataRow="1" firstDataCol="1"/>
  <pivotFields count="2">
    <pivotField axis="axisRow" allDrilled="1" subtotalTop="0" showAll="0" dataSourceSort="1" defaultSubtotal="0" defaultAttributeDrillState="1">
      <items count="6">
        <item s="1" x="0"/>
        <item x="1"/>
        <item x="2"/>
        <item x="3"/>
        <item x="4"/>
        <item x="5"/>
      </items>
    </pivotField>
    <pivotField dataField="1" subtotalTop="0" showAll="0" defaultSubtotal="0"/>
  </pivotFields>
  <rowFields count="1">
    <field x="0"/>
  </rowFields>
  <rowItems count="2">
    <i>
      <x/>
    </i>
    <i t="grand">
      <x/>
    </i>
  </rowItems>
  <colItems count="1">
    <i/>
  </colItems>
  <dataFields count="1">
    <dataField fld="1" subtotal="count" baseField="0" baseItem="0"/>
  </dataFields>
  <chartFormats count="7">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3"/>
          </reference>
        </references>
      </pivotArea>
    </chartFormat>
    <chartFormat chart="6" format="18">
      <pivotArea type="data" outline="0" fieldPosition="0">
        <references count="2">
          <reference field="4294967294" count="1" selected="0">
            <x v="0"/>
          </reference>
          <reference field="0" count="1" selected="0">
            <x v="2"/>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1"/>
          </reference>
        </references>
      </pivotArea>
    </chartFormat>
    <chartFormat chart="6" format="21">
      <pivotArea type="data" outline="0" fieldPosition="0">
        <references count="2">
          <reference field="4294967294" count="1" selected="0">
            <x v="0"/>
          </reference>
          <reference field="0" count="1" selected="0">
            <x v="0"/>
          </reference>
        </references>
      </pivotArea>
    </chartFormat>
    <chartFormat chart="6" format="22">
      <pivotArea type="data" outline="0" fieldPosition="0">
        <references count="2">
          <reference field="4294967294" count="1" selected="0">
            <x v="0"/>
          </reference>
          <reference field="0" count="1" selected="0">
            <x v="5"/>
          </reference>
        </references>
      </pivotArea>
    </chartFormat>
  </chartFormats>
  <pivotHierarchies count="2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84FA5-B12F-47FD-9607-7032C2F9446E}" name="PivotTable2" cacheId="584" applyNumberFormats="0" applyBorderFormats="0" applyFontFormats="0" applyPatternFormats="0" applyAlignmentFormats="0" applyWidthHeightFormats="1" dataCaption="Values" tag="bb2a57a8-0a0b-4d3b-b82e-3742fd3a6e0a" updatedVersion="8" minRefreshableVersion="3" useAutoFormatting="1" subtotalHiddenItems="1" itemPrintTitles="1" createdVersion="8" indent="0" outline="1" outlineData="1" multipleFieldFilters="0" chartFormat="20">
  <location ref="A37:B4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9" format="1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multipleItemSelectionAllowed="1" dragToData="1">
      <members count="1" level="1">
        <member name="[Products].[Product Name].&amp;[Mous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BC31A1-FBA2-4C16-AFD1-E6F17FE35FAC}" sourceName="[Customers].[Region]">
  <pivotTables>
    <pivotTable tabId="5" name="PivotTable2"/>
    <pivotTable tabId="5" name="PivotTable3"/>
    <pivotTable tabId="5" name="PivotTable1"/>
    <pivotTable tabId="5" name="PivotTable4"/>
  </pivotTables>
  <data>
    <olap pivotCacheId="1963449022">
      <levels count="2">
        <level uniqueName="[Customers].[Region].[(All)]" sourceCaption="(All)" count="0"/>
        <level uniqueName="[Customers].[Region].[Region]" sourceCaption="Region" count="4" sortOrder="ascending">
          <ranges>
            <range startItem="0">
              <i n="[Customers].[Region].&amp;[Chattogram]" c="Chattogram"/>
              <i n="[Customers].[Region].&amp;[Comilla]" c="Comilla"/>
              <i n="[Customers].[Region].&amp;[Dhaka]" c="Dhaka"/>
              <i n="[Customers].[Region].&amp;[Khulna]" c="Khulna"/>
            </range>
          </ranges>
        </level>
      </levels>
      <selections count="1">
        <selection n="[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D1C9A7-2276-4A3E-AE09-6DEC2B75AD5E}" sourceName="[Products].[Category]">
  <pivotTables>
    <pivotTable tabId="5" name="PivotTable1"/>
    <pivotTable tabId="5" name="PivotTable2"/>
    <pivotTable tabId="5" name="PivotTable3"/>
    <pivotTable tabId="5" name="PivotTable4"/>
  </pivotTables>
  <data>
    <olap pivotCacheId="1963449022">
      <levels count="2">
        <level uniqueName="[Products].[Category].[(All)]" sourceCaption="(All)" count="0"/>
        <level uniqueName="[Products].[Category].[Category]" sourceCaption="Category" count="2">
          <ranges>
            <range startItem="0">
              <i n="[Products].[Category].&amp;[Accessories]" c="Accessories"/>
              <i n="[Products].[Category].&amp;[Electronics]" c="Electronics" nd="1"/>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AEA4B49-D27C-4964-B4E6-0F0147B3C2F1}" sourceName="[Products].[Product Name]">
  <pivotTables>
    <pivotTable tabId="5" name="PivotTable1"/>
    <pivotTable tabId="5" name="PivotTable2"/>
    <pivotTable tabId="5" name="PivotTable3"/>
    <pivotTable tabId="5" name="PivotTable4"/>
  </pivotTables>
  <data>
    <olap pivotCacheId="1963449022">
      <levels count="2">
        <level uniqueName="[Products].[Product Name].[(All)]" sourceCaption="(All)" count="0"/>
        <level uniqueName="[Products].[Product Name].[Product Name]" sourceCaption="Product Name" count="6">
          <ranges>
            <range startItem="0">
              <i n="[Products].[Product Name].&amp;[Keyboard]" c="Keyboard"/>
              <i n="[Products].[Product Name].&amp;[Laptop]" c="Laptop"/>
              <i n="[Products].[Product Name].&amp;[Mobile]" c="Mobile"/>
              <i n="[Products].[Product Name].&amp;[Monitor]" c="Monitor"/>
              <i n="[Products].[Product Name].&amp;[Mouse]" c="Mouse"/>
              <i n="[Products].[Product Name].&amp;[Tablet]" c="Tablet"/>
            </range>
          </ranges>
        </level>
      </levels>
      <selections count="1">
        <selection n="[Products].[Product Name].&amp;[Mous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12D2333-7ADE-4CE8-AFB4-11C757FC3201}" cache="Slicer_Region" caption="Region" level="1" rowHeight="257175"/>
  <slicer name="Category" xr10:uid="{5A713215-0288-471F-B12F-7C1F61C0377D}" cache="Slicer_Category" caption="Category" level="1" rowHeight="257175"/>
  <slicer name="Product Name" xr10:uid="{C7B79914-D032-4DF7-8AD3-5C787B87D292}" cache="Slicer_Product_Name" caption="Product Nam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45264D8-7ABE-417A-874B-78A37F3A8D8C}" cache="Slicer_Region" caption="Region" level="1" style="SlicerStyleDark3" rowHeight="257175"/>
  <slicer name="Category 1" xr10:uid="{59DAC3A4-44A8-4E3C-9B80-A5C021AAACBD}" cache="Slicer_Category" caption="Category" level="1" style="SlicerStyleDark3" rowHeight="257175"/>
  <slicer name="Product Name 1" xr10:uid="{C34BA213-0EE5-4F0D-A632-2BD42CC0D90D}" cache="Slicer_Product_Name" caption="Product Name" level="1"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AF87DD-4C5C-4E44-999A-8B7D41525248}" name="Customers" displayName="Customers" ref="A1:C11" totalsRowShown="0" headerRowDxfId="2">
  <autoFilter ref="A1:C11" xr:uid="{99AF87DD-4C5C-4E44-999A-8B7D41525248}"/>
  <tableColumns count="3">
    <tableColumn id="1" xr3:uid="{EE5F8248-1664-47CB-BBEB-6AE68F52A245}" name="Customer ID"/>
    <tableColumn id="2" xr3:uid="{40D093BC-D728-4DF4-AB6F-65346DDFD9DE}" name="Customer Name"/>
    <tableColumn id="3" xr3:uid="{3D2CEE71-22BF-4DAE-922E-5562CC1B79EF}" name="Regio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B12708-3216-49BC-A949-50DF5400D8F9}" name="Products" displayName="Products" ref="A1:D7" totalsRowShown="0" headerRowDxfId="1">
  <autoFilter ref="A1:D7" xr:uid="{3EB12708-3216-49BC-A949-50DF5400D8F9}"/>
  <tableColumns count="4">
    <tableColumn id="1" xr3:uid="{CB53A583-81C2-4730-8B87-1A2ADF9502D8}" name="Product ID"/>
    <tableColumn id="2" xr3:uid="{175F2EA8-704C-4512-97F0-D4B0B4BD53EC}" name="Product Name"/>
    <tableColumn id="3" xr3:uid="{55A05B3E-0376-44EA-AC9B-39DE76D8ABB4}" name="Category"/>
    <tableColumn id="4" xr3:uid="{219E0C0B-528F-4548-94B7-066567A45F3F}" name="Unit Price"/>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7530C5-6C32-4DA9-855D-0B8A52CC86BF}" name="Sales" displayName="Sales" ref="A1:E22" totalsRowShown="0">
  <autoFilter ref="A1:E22" xr:uid="{DB7530C5-6C32-4DA9-855D-0B8A52CC86BF}"/>
  <tableColumns count="5">
    <tableColumn id="1" xr3:uid="{3A896DD4-652C-4A01-B6FF-B580A9FF0C17}" name="Order ID"/>
    <tableColumn id="2" xr3:uid="{9D44D3FB-41BD-4191-93B5-9598CA6D28D7}" name="Order Date" dataDxfId="0"/>
    <tableColumn id="3" xr3:uid="{CA653999-C26E-4148-94C0-6C96684E17E4}" name="Customer ID"/>
    <tableColumn id="4" xr3:uid="{E063217C-27B1-4820-8ADC-CC249F3A4CAA}" name="Product ID"/>
    <tableColumn id="5" xr3:uid="{D8500A93-841A-4F16-9443-EED1BDC5CAC3}" name="Quantity"/>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DD70-9B21-4126-849E-C0BBB6B610F9}">
  <dimension ref="A1:C11"/>
  <sheetViews>
    <sheetView zoomScale="180" zoomScaleNormal="180" workbookViewId="0">
      <selection activeCell="B9" sqref="B9"/>
    </sheetView>
  </sheetViews>
  <sheetFormatPr defaultRowHeight="15" x14ac:dyDescent="0.25"/>
  <cols>
    <col min="1" max="1" width="14.7109375" bestFit="1" customWidth="1"/>
    <col min="2" max="2" width="18.140625" bestFit="1" customWidth="1"/>
    <col min="3" max="3" width="11.28515625" bestFit="1" customWidth="1"/>
  </cols>
  <sheetData>
    <row r="1" spans="1:3" x14ac:dyDescent="0.25">
      <c r="A1" s="1" t="s">
        <v>0</v>
      </c>
      <c r="B1" s="1" t="s">
        <v>1</v>
      </c>
      <c r="C1" s="1" t="s">
        <v>2</v>
      </c>
    </row>
    <row r="2" spans="1:3" x14ac:dyDescent="0.25">
      <c r="A2" t="s">
        <v>3</v>
      </c>
      <c r="B2" t="s">
        <v>13</v>
      </c>
      <c r="C2" t="s">
        <v>23</v>
      </c>
    </row>
    <row r="3" spans="1:3" x14ac:dyDescent="0.25">
      <c r="A3" t="s">
        <v>4</v>
      </c>
      <c r="B3" t="s">
        <v>14</v>
      </c>
      <c r="C3" t="s">
        <v>24</v>
      </c>
    </row>
    <row r="4" spans="1:3" x14ac:dyDescent="0.25">
      <c r="A4" t="s">
        <v>5</v>
      </c>
      <c r="B4" t="s">
        <v>15</v>
      </c>
      <c r="C4" t="s">
        <v>25</v>
      </c>
    </row>
    <row r="5" spans="1:3" x14ac:dyDescent="0.25">
      <c r="A5" t="s">
        <v>6</v>
      </c>
      <c r="B5" t="s">
        <v>16</v>
      </c>
      <c r="C5" t="s">
        <v>26</v>
      </c>
    </row>
    <row r="6" spans="1:3" x14ac:dyDescent="0.25">
      <c r="A6" t="s">
        <v>7</v>
      </c>
      <c r="B6" t="s">
        <v>17</v>
      </c>
      <c r="C6" t="s">
        <v>24</v>
      </c>
    </row>
    <row r="7" spans="1:3" x14ac:dyDescent="0.25">
      <c r="A7" t="s">
        <v>8</v>
      </c>
      <c r="B7" t="s">
        <v>18</v>
      </c>
      <c r="C7" t="s">
        <v>26</v>
      </c>
    </row>
    <row r="8" spans="1:3" x14ac:dyDescent="0.25">
      <c r="A8" t="s">
        <v>9</v>
      </c>
      <c r="B8" t="s">
        <v>19</v>
      </c>
      <c r="C8" t="s">
        <v>24</v>
      </c>
    </row>
    <row r="9" spans="1:3" x14ac:dyDescent="0.25">
      <c r="A9" t="s">
        <v>10</v>
      </c>
      <c r="B9" t="s">
        <v>20</v>
      </c>
      <c r="C9" t="s">
        <v>23</v>
      </c>
    </row>
    <row r="10" spans="1:3" x14ac:dyDescent="0.25">
      <c r="A10" t="s">
        <v>11</v>
      </c>
      <c r="B10" t="s">
        <v>22</v>
      </c>
      <c r="C10" t="s">
        <v>26</v>
      </c>
    </row>
    <row r="11" spans="1:3" x14ac:dyDescent="0.25">
      <c r="A11" t="s">
        <v>12</v>
      </c>
      <c r="B11" t="s">
        <v>21</v>
      </c>
      <c r="C11" t="s">
        <v>25</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16EC-1FDE-42DE-94E2-321FA41855D4}">
  <dimension ref="A1:D7"/>
  <sheetViews>
    <sheetView zoomScale="200" zoomScaleNormal="200" workbookViewId="0">
      <selection activeCell="B20" sqref="B20"/>
    </sheetView>
  </sheetViews>
  <sheetFormatPr defaultRowHeight="15" x14ac:dyDescent="0.25"/>
  <cols>
    <col min="1" max="1" width="12.5703125" customWidth="1"/>
    <col min="2" max="2" width="15.85546875" customWidth="1"/>
    <col min="3" max="3" width="11.28515625" customWidth="1"/>
    <col min="4" max="4" width="11.85546875" customWidth="1"/>
  </cols>
  <sheetData>
    <row r="1" spans="1:4" x14ac:dyDescent="0.25">
      <c r="A1" s="1" t="s">
        <v>27</v>
      </c>
      <c r="B1" s="1" t="s">
        <v>28</v>
      </c>
      <c r="C1" s="1" t="s">
        <v>29</v>
      </c>
      <c r="D1" s="1" t="s">
        <v>30</v>
      </c>
    </row>
    <row r="2" spans="1:4" x14ac:dyDescent="0.25">
      <c r="A2" t="s">
        <v>31</v>
      </c>
      <c r="B2" t="s">
        <v>37</v>
      </c>
      <c r="C2" t="s">
        <v>38</v>
      </c>
      <c r="D2">
        <v>55000</v>
      </c>
    </row>
    <row r="3" spans="1:4" x14ac:dyDescent="0.25">
      <c r="A3" t="s">
        <v>32</v>
      </c>
      <c r="B3" t="s">
        <v>39</v>
      </c>
      <c r="C3" t="s">
        <v>38</v>
      </c>
      <c r="D3">
        <v>20000</v>
      </c>
    </row>
    <row r="4" spans="1:4" x14ac:dyDescent="0.25">
      <c r="A4" t="s">
        <v>33</v>
      </c>
      <c r="B4" t="s">
        <v>40</v>
      </c>
      <c r="C4" t="s">
        <v>38</v>
      </c>
      <c r="D4">
        <v>15000</v>
      </c>
    </row>
    <row r="5" spans="1:4" x14ac:dyDescent="0.25">
      <c r="A5" t="s">
        <v>34</v>
      </c>
      <c r="B5" t="s">
        <v>41</v>
      </c>
      <c r="C5" t="s">
        <v>42</v>
      </c>
      <c r="D5">
        <v>500</v>
      </c>
    </row>
    <row r="6" spans="1:4" x14ac:dyDescent="0.25">
      <c r="A6" t="s">
        <v>35</v>
      </c>
      <c r="B6" t="s">
        <v>43</v>
      </c>
      <c r="C6" t="s">
        <v>42</v>
      </c>
      <c r="D6">
        <v>800</v>
      </c>
    </row>
    <row r="7" spans="1:4" x14ac:dyDescent="0.25">
      <c r="A7" t="s">
        <v>36</v>
      </c>
      <c r="B7" t="s">
        <v>44</v>
      </c>
      <c r="C7" t="s">
        <v>38</v>
      </c>
      <c r="D7">
        <v>12000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39E6-6A20-4388-AF17-A87694DBACE8}">
  <dimension ref="A1:E22"/>
  <sheetViews>
    <sheetView zoomScale="166" zoomScaleNormal="166" workbookViewId="0">
      <selection activeCell="C23" sqref="C23"/>
    </sheetView>
  </sheetViews>
  <sheetFormatPr defaultRowHeight="15" x14ac:dyDescent="0.25"/>
  <cols>
    <col min="1" max="1" width="10.85546875" bestFit="1" customWidth="1"/>
    <col min="2" max="2" width="13.140625" bestFit="1" customWidth="1"/>
    <col min="3" max="3" width="14.7109375" bestFit="1" customWidth="1"/>
    <col min="4" max="4" width="12.7109375" bestFit="1" customWidth="1"/>
    <col min="5" max="5" width="11" bestFit="1" customWidth="1"/>
  </cols>
  <sheetData>
    <row r="1" spans="1:5" x14ac:dyDescent="0.25">
      <c r="A1" t="s">
        <v>45</v>
      </c>
      <c r="B1" t="s">
        <v>46</v>
      </c>
      <c r="C1" t="s">
        <v>0</v>
      </c>
      <c r="D1" t="s">
        <v>27</v>
      </c>
      <c r="E1" t="s">
        <v>47</v>
      </c>
    </row>
    <row r="2" spans="1:5" x14ac:dyDescent="0.25">
      <c r="A2" t="s">
        <v>48</v>
      </c>
      <c r="B2" s="2">
        <v>46091</v>
      </c>
      <c r="C2" t="s">
        <v>3</v>
      </c>
      <c r="D2" t="s">
        <v>31</v>
      </c>
      <c r="E2">
        <v>2</v>
      </c>
    </row>
    <row r="3" spans="1:5" x14ac:dyDescent="0.25">
      <c r="A3" t="s">
        <v>49</v>
      </c>
      <c r="B3" s="2">
        <v>46096</v>
      </c>
      <c r="C3" t="s">
        <v>4</v>
      </c>
      <c r="D3" t="s">
        <v>32</v>
      </c>
      <c r="E3">
        <v>3</v>
      </c>
    </row>
    <row r="4" spans="1:5" x14ac:dyDescent="0.25">
      <c r="A4" t="s">
        <v>50</v>
      </c>
      <c r="B4" s="2">
        <v>46101</v>
      </c>
      <c r="C4" t="s">
        <v>5</v>
      </c>
      <c r="D4" t="s">
        <v>33</v>
      </c>
      <c r="E4">
        <v>1</v>
      </c>
    </row>
    <row r="5" spans="1:5" x14ac:dyDescent="0.25">
      <c r="A5" t="s">
        <v>51</v>
      </c>
      <c r="B5" s="2">
        <v>46106</v>
      </c>
      <c r="C5" t="s">
        <v>6</v>
      </c>
      <c r="D5" t="s">
        <v>34</v>
      </c>
      <c r="E5">
        <v>5</v>
      </c>
    </row>
    <row r="6" spans="1:5" x14ac:dyDescent="0.25">
      <c r="A6" t="s">
        <v>52</v>
      </c>
      <c r="B6" s="2">
        <v>46111</v>
      </c>
      <c r="C6" t="s">
        <v>7</v>
      </c>
      <c r="D6" t="s">
        <v>34</v>
      </c>
      <c r="E6">
        <v>2</v>
      </c>
    </row>
    <row r="7" spans="1:5" x14ac:dyDescent="0.25">
      <c r="A7" t="s">
        <v>53</v>
      </c>
      <c r="B7" s="2">
        <v>46116</v>
      </c>
      <c r="C7" t="s">
        <v>8</v>
      </c>
      <c r="D7" t="s">
        <v>35</v>
      </c>
      <c r="E7">
        <v>1</v>
      </c>
    </row>
    <row r="8" spans="1:5" x14ac:dyDescent="0.25">
      <c r="A8" t="s">
        <v>54</v>
      </c>
      <c r="B8" s="2">
        <v>46121</v>
      </c>
      <c r="C8" t="s">
        <v>9</v>
      </c>
      <c r="D8" t="s">
        <v>36</v>
      </c>
      <c r="E8">
        <v>1</v>
      </c>
    </row>
    <row r="9" spans="1:5" x14ac:dyDescent="0.25">
      <c r="A9" t="s">
        <v>55</v>
      </c>
      <c r="B9" s="2">
        <v>46126</v>
      </c>
      <c r="C9" t="s">
        <v>10</v>
      </c>
      <c r="D9" t="s">
        <v>31</v>
      </c>
      <c r="E9">
        <v>4</v>
      </c>
    </row>
    <row r="10" spans="1:5" x14ac:dyDescent="0.25">
      <c r="A10" t="s">
        <v>56</v>
      </c>
      <c r="B10" s="2">
        <v>46131</v>
      </c>
      <c r="C10" t="s">
        <v>11</v>
      </c>
      <c r="D10" t="s">
        <v>32</v>
      </c>
      <c r="E10">
        <v>2</v>
      </c>
    </row>
    <row r="11" spans="1:5" x14ac:dyDescent="0.25">
      <c r="A11" t="s">
        <v>57</v>
      </c>
      <c r="B11" s="2">
        <v>46136</v>
      </c>
      <c r="C11" t="s">
        <v>12</v>
      </c>
      <c r="D11" t="s">
        <v>34</v>
      </c>
      <c r="E11">
        <v>3</v>
      </c>
    </row>
    <row r="12" spans="1:5" x14ac:dyDescent="0.25">
      <c r="A12" t="s">
        <v>58</v>
      </c>
      <c r="B12" s="2">
        <v>46141</v>
      </c>
      <c r="C12" t="s">
        <v>3</v>
      </c>
      <c r="D12" t="s">
        <v>35</v>
      </c>
      <c r="E12">
        <v>1</v>
      </c>
    </row>
    <row r="13" spans="1:5" x14ac:dyDescent="0.25">
      <c r="A13" t="s">
        <v>59</v>
      </c>
      <c r="B13" s="2">
        <v>46146</v>
      </c>
      <c r="C13" t="s">
        <v>4</v>
      </c>
      <c r="D13" t="s">
        <v>36</v>
      </c>
      <c r="E13">
        <v>2</v>
      </c>
    </row>
    <row r="14" spans="1:5" x14ac:dyDescent="0.25">
      <c r="A14" t="s">
        <v>60</v>
      </c>
      <c r="B14" s="2">
        <v>46151</v>
      </c>
      <c r="C14" t="s">
        <v>7</v>
      </c>
      <c r="D14" t="s">
        <v>31</v>
      </c>
      <c r="E14">
        <v>1</v>
      </c>
    </row>
    <row r="15" spans="1:5" x14ac:dyDescent="0.25">
      <c r="A15" t="s">
        <v>61</v>
      </c>
      <c r="B15" s="2">
        <v>46156</v>
      </c>
      <c r="C15" t="s">
        <v>8</v>
      </c>
      <c r="D15" t="s">
        <v>32</v>
      </c>
      <c r="E15">
        <v>2</v>
      </c>
    </row>
    <row r="16" spans="1:5" x14ac:dyDescent="0.25">
      <c r="A16" t="s">
        <v>62</v>
      </c>
      <c r="B16" s="2">
        <v>46161</v>
      </c>
      <c r="C16" t="s">
        <v>9</v>
      </c>
      <c r="D16" t="s">
        <v>33</v>
      </c>
      <c r="E16">
        <v>3</v>
      </c>
    </row>
    <row r="17" spans="1:5" x14ac:dyDescent="0.25">
      <c r="A17" t="s">
        <v>63</v>
      </c>
      <c r="B17" s="2">
        <v>46166</v>
      </c>
      <c r="C17" t="s">
        <v>10</v>
      </c>
      <c r="D17" t="s">
        <v>34</v>
      </c>
      <c r="E17">
        <v>2</v>
      </c>
    </row>
    <row r="18" spans="1:5" x14ac:dyDescent="0.25">
      <c r="A18" t="s">
        <v>64</v>
      </c>
      <c r="B18" s="2">
        <v>46171</v>
      </c>
      <c r="C18" t="s">
        <v>11</v>
      </c>
      <c r="D18" t="s">
        <v>35</v>
      </c>
      <c r="E18">
        <v>1</v>
      </c>
    </row>
    <row r="19" spans="1:5" x14ac:dyDescent="0.25">
      <c r="A19" t="s">
        <v>65</v>
      </c>
      <c r="B19" s="2">
        <v>46176</v>
      </c>
      <c r="C19" t="s">
        <v>12</v>
      </c>
      <c r="D19" t="s">
        <v>36</v>
      </c>
      <c r="E19">
        <v>3</v>
      </c>
    </row>
    <row r="20" spans="1:5" x14ac:dyDescent="0.25">
      <c r="A20" t="s">
        <v>66</v>
      </c>
      <c r="B20" s="2">
        <v>46181</v>
      </c>
      <c r="C20" t="s">
        <v>3</v>
      </c>
      <c r="D20" t="s">
        <v>31</v>
      </c>
      <c r="E20">
        <v>2</v>
      </c>
    </row>
    <row r="21" spans="1:5" x14ac:dyDescent="0.25">
      <c r="A21" t="s">
        <v>67</v>
      </c>
      <c r="B21" s="2">
        <v>46186</v>
      </c>
      <c r="C21" t="s">
        <v>4</v>
      </c>
      <c r="D21" t="s">
        <v>32</v>
      </c>
      <c r="E21">
        <v>1</v>
      </c>
    </row>
    <row r="22" spans="1:5" x14ac:dyDescent="0.25">
      <c r="A22" t="s">
        <v>80</v>
      </c>
      <c r="B22" s="2">
        <v>46218</v>
      </c>
      <c r="C22" t="s">
        <v>5</v>
      </c>
      <c r="D22" t="s">
        <v>33</v>
      </c>
      <c r="E22">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7DA59-1442-409C-AD55-C9569CB10628}">
  <dimension ref="A3:K42"/>
  <sheetViews>
    <sheetView topLeftCell="A16" workbookViewId="0">
      <selection activeCell="G38" sqref="G38"/>
    </sheetView>
  </sheetViews>
  <sheetFormatPr defaultRowHeight="15" x14ac:dyDescent="0.25"/>
  <cols>
    <col min="1" max="1" width="13.42578125" bestFit="1" customWidth="1"/>
    <col min="2" max="2" width="10.7109375" bestFit="1" customWidth="1"/>
    <col min="3" max="3" width="15.5703125" bestFit="1" customWidth="1"/>
    <col min="4" max="4" width="13.42578125" bestFit="1" customWidth="1"/>
    <col min="5" max="5" width="10.7109375" bestFit="1" customWidth="1"/>
    <col min="6" max="6" width="12.140625" bestFit="1" customWidth="1"/>
    <col min="7" max="7" width="13.42578125" bestFit="1" customWidth="1"/>
    <col min="8" max="8" width="17" bestFit="1" customWidth="1"/>
    <col min="9" max="9" width="10.7109375" bestFit="1" customWidth="1"/>
    <col min="10" max="10" width="13.7109375" bestFit="1" customWidth="1"/>
    <col min="11" max="12" width="9.42578125" bestFit="1" customWidth="1"/>
    <col min="13" max="14" width="8.42578125" bestFit="1" customWidth="1"/>
    <col min="15" max="18" width="9.42578125" bestFit="1" customWidth="1"/>
    <col min="19" max="20" width="8.42578125" bestFit="1" customWidth="1"/>
    <col min="21" max="24" width="9.42578125" bestFit="1" customWidth="1"/>
    <col min="25" max="26" width="8.42578125" bestFit="1" customWidth="1"/>
    <col min="27" max="28" width="9.42578125" bestFit="1" customWidth="1"/>
    <col min="29" max="29" width="11.28515625" bestFit="1" customWidth="1"/>
  </cols>
  <sheetData>
    <row r="3" spans="1:8" x14ac:dyDescent="0.25">
      <c r="A3" s="3" t="s">
        <v>1</v>
      </c>
      <c r="B3" s="3" t="s">
        <v>28</v>
      </c>
      <c r="C3" t="s">
        <v>70</v>
      </c>
      <c r="D3" t="s">
        <v>75</v>
      </c>
      <c r="E3" t="s">
        <v>76</v>
      </c>
      <c r="F3" t="s">
        <v>77</v>
      </c>
      <c r="G3" t="s">
        <v>78</v>
      </c>
      <c r="H3" t="s">
        <v>79</v>
      </c>
    </row>
    <row r="4" spans="1:8" x14ac:dyDescent="0.25">
      <c r="A4" t="s">
        <v>16</v>
      </c>
      <c r="B4" t="s">
        <v>41</v>
      </c>
      <c r="C4" s="6">
        <v>5</v>
      </c>
      <c r="D4" s="6">
        <v>5</v>
      </c>
      <c r="E4" s="6">
        <v>5</v>
      </c>
      <c r="F4" s="6">
        <v>1</v>
      </c>
      <c r="G4" s="6">
        <v>1</v>
      </c>
      <c r="H4" s="6">
        <v>2500</v>
      </c>
    </row>
    <row r="5" spans="1:8" x14ac:dyDescent="0.25">
      <c r="A5" t="s">
        <v>71</v>
      </c>
      <c r="C5" s="6">
        <v>5</v>
      </c>
      <c r="D5" s="6">
        <v>5</v>
      </c>
      <c r="E5" s="6">
        <v>5</v>
      </c>
      <c r="F5" s="6">
        <v>1</v>
      </c>
      <c r="G5" s="6">
        <v>1</v>
      </c>
      <c r="H5" s="6">
        <v>2500</v>
      </c>
    </row>
    <row r="6" spans="1:8" x14ac:dyDescent="0.25">
      <c r="A6" t="s">
        <v>17</v>
      </c>
      <c r="B6" t="s">
        <v>41</v>
      </c>
      <c r="C6" s="6">
        <v>2</v>
      </c>
      <c r="D6" s="6">
        <v>2</v>
      </c>
      <c r="E6" s="6">
        <v>2</v>
      </c>
      <c r="F6" s="6">
        <v>1</v>
      </c>
      <c r="G6" s="6">
        <v>1</v>
      </c>
      <c r="H6" s="6">
        <v>1000</v>
      </c>
    </row>
    <row r="7" spans="1:8" x14ac:dyDescent="0.25">
      <c r="A7" t="s">
        <v>72</v>
      </c>
      <c r="C7" s="6">
        <v>2</v>
      </c>
      <c r="D7" s="6">
        <v>2</v>
      </c>
      <c r="E7" s="6">
        <v>2</v>
      </c>
      <c r="F7" s="6">
        <v>1</v>
      </c>
      <c r="G7" s="6">
        <v>1</v>
      </c>
      <c r="H7" s="6">
        <v>1000</v>
      </c>
    </row>
    <row r="8" spans="1:8" x14ac:dyDescent="0.25">
      <c r="A8" t="s">
        <v>21</v>
      </c>
      <c r="B8" t="s">
        <v>41</v>
      </c>
      <c r="C8" s="6">
        <v>3</v>
      </c>
      <c r="D8" s="6">
        <v>3</v>
      </c>
      <c r="E8" s="6">
        <v>3</v>
      </c>
      <c r="F8" s="6">
        <v>1</v>
      </c>
      <c r="G8" s="6">
        <v>1</v>
      </c>
      <c r="H8" s="6">
        <v>1500</v>
      </c>
    </row>
    <row r="9" spans="1:8" x14ac:dyDescent="0.25">
      <c r="A9" t="s">
        <v>73</v>
      </c>
      <c r="C9" s="6">
        <v>3</v>
      </c>
      <c r="D9" s="6">
        <v>3</v>
      </c>
      <c r="E9" s="6">
        <v>3</v>
      </c>
      <c r="F9" s="6">
        <v>1</v>
      </c>
      <c r="G9" s="6">
        <v>1</v>
      </c>
      <c r="H9" s="6">
        <v>1500</v>
      </c>
    </row>
    <row r="10" spans="1:8" x14ac:dyDescent="0.25">
      <c r="A10" t="s">
        <v>20</v>
      </c>
      <c r="B10" t="s">
        <v>41</v>
      </c>
      <c r="C10" s="6">
        <v>2</v>
      </c>
      <c r="D10" s="6">
        <v>2</v>
      </c>
      <c r="E10" s="6">
        <v>2</v>
      </c>
      <c r="F10" s="6">
        <v>1</v>
      </c>
      <c r="G10" s="6">
        <v>1</v>
      </c>
      <c r="H10" s="6">
        <v>1000</v>
      </c>
    </row>
    <row r="11" spans="1:8" x14ac:dyDescent="0.25">
      <c r="A11" t="s">
        <v>74</v>
      </c>
      <c r="C11" s="6">
        <v>2</v>
      </c>
      <c r="D11" s="6">
        <v>2</v>
      </c>
      <c r="E11" s="6">
        <v>2</v>
      </c>
      <c r="F11" s="6">
        <v>1</v>
      </c>
      <c r="G11" s="6">
        <v>1</v>
      </c>
      <c r="H11" s="6">
        <v>1000</v>
      </c>
    </row>
    <row r="12" spans="1:8" x14ac:dyDescent="0.25">
      <c r="A12" t="s">
        <v>69</v>
      </c>
      <c r="C12" s="6">
        <v>12</v>
      </c>
      <c r="D12" s="6">
        <v>12</v>
      </c>
      <c r="E12" s="6">
        <v>3</v>
      </c>
      <c r="F12" s="6">
        <v>4</v>
      </c>
      <c r="G12" s="6">
        <v>4</v>
      </c>
      <c r="H12" s="6">
        <v>6000</v>
      </c>
    </row>
    <row r="34" spans="1:11" x14ac:dyDescent="0.25">
      <c r="J34" s="5" t="s">
        <v>79</v>
      </c>
      <c r="K34">
        <f>GETPIVOTDATA("[Measures].[Total Sales]",$A$3)</f>
        <v>6000</v>
      </c>
    </row>
    <row r="35" spans="1:11" x14ac:dyDescent="0.25">
      <c r="J35" s="5" t="s">
        <v>77</v>
      </c>
      <c r="K35">
        <f>GETPIVOTDATA("[Measures].[Order Count]",$A$3)</f>
        <v>4</v>
      </c>
    </row>
    <row r="36" spans="1:11" x14ac:dyDescent="0.25">
      <c r="J36" s="5" t="s">
        <v>75</v>
      </c>
      <c r="K36">
        <f>GETPIVOTDATA("[Measures].[Total Quantity]",$A$3)</f>
        <v>12</v>
      </c>
    </row>
    <row r="37" spans="1:11" x14ac:dyDescent="0.25">
      <c r="A37" s="3" t="s">
        <v>68</v>
      </c>
      <c r="B37" t="s">
        <v>79</v>
      </c>
      <c r="D37" s="3" t="s">
        <v>68</v>
      </c>
      <c r="E37" t="s">
        <v>79</v>
      </c>
      <c r="G37" s="3" t="s">
        <v>68</v>
      </c>
      <c r="H37" t="s">
        <v>84</v>
      </c>
      <c r="I37" t="s">
        <v>79</v>
      </c>
    </row>
    <row r="38" spans="1:11" x14ac:dyDescent="0.25">
      <c r="A38" s="4" t="s">
        <v>24</v>
      </c>
      <c r="B38" s="6">
        <v>1000</v>
      </c>
      <c r="D38" s="4" t="s">
        <v>41</v>
      </c>
      <c r="E38" s="6">
        <v>6000</v>
      </c>
      <c r="G38" s="4" t="s">
        <v>81</v>
      </c>
      <c r="H38" s="6">
        <v>2</v>
      </c>
      <c r="I38" s="6">
        <v>3500</v>
      </c>
    </row>
    <row r="39" spans="1:11" x14ac:dyDescent="0.25">
      <c r="A39" s="4" t="s">
        <v>26</v>
      </c>
      <c r="B39" s="6">
        <v>2500</v>
      </c>
      <c r="D39" s="4" t="s">
        <v>69</v>
      </c>
      <c r="E39" s="6">
        <v>6000</v>
      </c>
      <c r="G39" s="4" t="s">
        <v>82</v>
      </c>
      <c r="H39" s="6">
        <v>1</v>
      </c>
      <c r="I39" s="6">
        <v>1500</v>
      </c>
    </row>
    <row r="40" spans="1:11" x14ac:dyDescent="0.25">
      <c r="A40" s="4" t="s">
        <v>23</v>
      </c>
      <c r="B40" s="6">
        <v>1000</v>
      </c>
      <c r="G40" s="4" t="s">
        <v>83</v>
      </c>
      <c r="H40" s="6">
        <v>1</v>
      </c>
      <c r="I40" s="6">
        <v>1000</v>
      </c>
    </row>
    <row r="41" spans="1:11" x14ac:dyDescent="0.25">
      <c r="A41" s="4" t="s">
        <v>25</v>
      </c>
      <c r="B41" s="6">
        <v>1500</v>
      </c>
      <c r="G41" s="4" t="s">
        <v>69</v>
      </c>
      <c r="H41" s="6">
        <v>4</v>
      </c>
      <c r="I41" s="6">
        <v>6000</v>
      </c>
    </row>
    <row r="42" spans="1:11" x14ac:dyDescent="0.25">
      <c r="A42" s="4" t="s">
        <v>69</v>
      </c>
      <c r="B42" s="6">
        <v>6000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54EFA-8E8D-40D3-851D-E1516EBEC6D1}">
  <dimension ref="A1:AD41"/>
  <sheetViews>
    <sheetView showGridLines="0" tabSelected="1" zoomScale="90" zoomScaleNormal="90" workbookViewId="0">
      <selection activeCell="AE19" sqref="AE19"/>
    </sheetView>
  </sheetViews>
  <sheetFormatPr defaultRowHeight="15" x14ac:dyDescent="0.25"/>
  <cols>
    <col min="1" max="16384" width="9.140625" style="7"/>
  </cols>
  <sheetData>
    <row r="1" spans="1:29" x14ac:dyDescent="0.25">
      <c r="A1" s="9"/>
      <c r="B1" s="9"/>
      <c r="C1" s="9"/>
      <c r="D1" s="9"/>
      <c r="E1" s="9"/>
      <c r="F1" s="9"/>
      <c r="G1" s="9"/>
      <c r="H1" s="9"/>
      <c r="I1" s="9"/>
      <c r="J1" s="10"/>
      <c r="K1" s="10"/>
      <c r="L1" s="10"/>
      <c r="M1" s="10"/>
      <c r="N1" s="10"/>
      <c r="O1" s="10"/>
      <c r="P1" s="10"/>
      <c r="Q1" s="10"/>
      <c r="R1" s="10"/>
      <c r="S1" s="10"/>
      <c r="T1" s="10"/>
      <c r="U1" s="10"/>
      <c r="V1" s="10"/>
      <c r="W1" s="10"/>
      <c r="X1" s="10"/>
      <c r="Y1" s="10"/>
      <c r="Z1" s="10"/>
      <c r="AA1" s="10"/>
      <c r="AB1" s="10"/>
      <c r="AC1" s="10"/>
    </row>
    <row r="2" spans="1:29" x14ac:dyDescent="0.25">
      <c r="A2" s="9"/>
      <c r="B2" s="9"/>
      <c r="C2" s="9"/>
      <c r="D2" s="9"/>
      <c r="E2" s="9"/>
      <c r="F2" s="9"/>
      <c r="G2" s="9"/>
      <c r="H2" s="9"/>
      <c r="I2" s="9"/>
      <c r="J2" s="10"/>
      <c r="K2" s="10"/>
      <c r="L2" s="10"/>
      <c r="M2" s="10"/>
      <c r="N2" s="10"/>
      <c r="O2" s="10"/>
      <c r="P2" s="10"/>
      <c r="Q2" s="10"/>
      <c r="R2" s="10"/>
      <c r="S2" s="10"/>
      <c r="T2" s="10"/>
      <c r="U2" s="10"/>
      <c r="V2" s="10"/>
      <c r="W2" s="10"/>
      <c r="X2" s="10"/>
      <c r="Y2" s="10"/>
      <c r="Z2" s="10"/>
      <c r="AA2" s="10"/>
      <c r="AB2" s="10"/>
      <c r="AC2" s="10"/>
    </row>
    <row r="3" spans="1:29" x14ac:dyDescent="0.25">
      <c r="A3" s="9"/>
      <c r="B3" s="9"/>
      <c r="C3" s="9"/>
      <c r="D3" s="9"/>
      <c r="E3" s="9"/>
      <c r="F3" s="9"/>
      <c r="G3" s="9"/>
      <c r="H3" s="9"/>
      <c r="I3" s="9"/>
      <c r="J3" s="10"/>
      <c r="K3" s="10"/>
      <c r="L3" s="10"/>
      <c r="M3" s="10"/>
      <c r="N3" s="10"/>
      <c r="O3" s="10"/>
      <c r="P3" s="10"/>
      <c r="Q3" s="10"/>
      <c r="R3" s="10"/>
      <c r="S3" s="10"/>
      <c r="T3" s="10"/>
      <c r="U3" s="10"/>
      <c r="V3" s="10"/>
      <c r="W3" s="10"/>
      <c r="X3" s="10"/>
      <c r="Y3" s="10"/>
      <c r="Z3" s="10"/>
      <c r="AA3" s="10"/>
      <c r="AB3" s="10"/>
      <c r="AC3" s="10"/>
    </row>
    <row r="4" spans="1:29"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row>
    <row r="5" spans="1:29"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row>
    <row r="6" spans="1:29"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row>
    <row r="7" spans="1:29"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row>
    <row r="8" spans="1:29"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row>
    <row r="9" spans="1:29"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row>
    <row r="10" spans="1:29"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spans="1:29"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spans="1:29"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1:29"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spans="1:29"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1:29"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spans="1:29"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spans="1:29"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spans="1:29"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spans="1:29"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spans="1:29"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spans="1:29"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1:29"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spans="1:29"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spans="1:29"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spans="1:29"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spans="1:29"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spans="1:29"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1:29"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spans="1:30"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spans="1:30"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spans="1:30"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spans="1:30"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spans="1:30"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spans="1:30"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spans="1:30"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spans="1:30"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spans="1:30"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8"/>
    </row>
  </sheetData>
  <mergeCells count="1">
    <mergeCell ref="A1: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D04E120-3B51-4AE0-B001-615B01C66FA9}">
  <ds:schemaRefs/>
</ds:datastoreItem>
</file>

<file path=customXml/itemProps2.xml><?xml version="1.0" encoding="utf-8"?>
<ds:datastoreItem xmlns:ds="http://schemas.openxmlformats.org/officeDocument/2006/customXml" ds:itemID="{4ADAC8D7-3E6B-4F9B-9104-A5C39C5D27B6}">
  <ds:schemaRefs/>
</ds:datastoreItem>
</file>

<file path=customXml/itemProps3.xml><?xml version="1.0" encoding="utf-8"?>
<ds:datastoreItem xmlns:ds="http://schemas.openxmlformats.org/officeDocument/2006/customXml" ds:itemID="{5989C349-1CB6-4695-B0A5-0B3C284A72FB}">
  <ds:schemaRefs/>
</ds:datastoreItem>
</file>

<file path=customXml/itemProps4.xml><?xml version="1.0" encoding="utf-8"?>
<ds:datastoreItem xmlns:ds="http://schemas.openxmlformats.org/officeDocument/2006/customXml" ds:itemID="{44D2DDA6-58AC-43BC-9D57-1B5D88266A40}">
  <ds:schemaRefs/>
</ds:datastoreItem>
</file>

<file path=customXml/itemProps5.xml><?xml version="1.0" encoding="utf-8"?>
<ds:datastoreItem xmlns:ds="http://schemas.openxmlformats.org/officeDocument/2006/customXml" ds:itemID="{E3557BC3-2DE9-4CE5-A405-18EF1F269E68}">
  <ds:schemaRefs/>
</ds:datastoreItem>
</file>

<file path=customXml/itemProps6.xml><?xml version="1.0" encoding="utf-8"?>
<ds:datastoreItem xmlns:ds="http://schemas.openxmlformats.org/officeDocument/2006/customXml" ds:itemID="{78D0A672-97A2-4252-A29C-C255E056B4B0}">
  <ds:schemaRefs/>
</ds:datastoreItem>
</file>

<file path=customXml/itemProps7.xml><?xml version="1.0" encoding="utf-8"?>
<ds:datastoreItem xmlns:ds="http://schemas.openxmlformats.org/officeDocument/2006/customXml" ds:itemID="{B45FFA40-84E6-4828-8615-488FF75000B6}">
  <ds:schemaRefs/>
</ds:datastoreItem>
</file>

<file path=customXml/itemProps8.xml><?xml version="1.0" encoding="utf-8"?>
<ds:datastoreItem xmlns:ds="http://schemas.openxmlformats.org/officeDocument/2006/customXml" ds:itemID="{8A5135F8-4A69-450B-89E6-11E727BCAB18}">
  <ds:schemaRefs/>
</ds:datastoreItem>
</file>

<file path=customXml/itemProps9.xml><?xml version="1.0" encoding="utf-8"?>
<ds:datastoreItem xmlns:ds="http://schemas.openxmlformats.org/officeDocument/2006/customXml" ds:itemID="{FD72C131-EA77-4E3A-92F0-98F55894DBFD}">
  <ds:schemaRefs/>
</ds:datastoreItem>
</file>

<file path=customXml/itemProps10.xml><?xml version="1.0" encoding="utf-8"?>
<ds:datastoreItem xmlns:ds="http://schemas.openxmlformats.org/officeDocument/2006/customXml" ds:itemID="{0EEAF0A3-CBA2-4276-B4CB-C21533068584}">
  <ds:schemaRefs/>
</ds:datastoreItem>
</file>

<file path=customXml/itemProps11.xml><?xml version="1.0" encoding="utf-8"?>
<ds:datastoreItem xmlns:ds="http://schemas.openxmlformats.org/officeDocument/2006/customXml" ds:itemID="{4A821CB6-6D99-4F03-A62D-F794AFADF75E}">
  <ds:schemaRefs/>
</ds:datastoreItem>
</file>

<file path=customXml/itemProps12.xml><?xml version="1.0" encoding="utf-8"?>
<ds:datastoreItem xmlns:ds="http://schemas.openxmlformats.org/officeDocument/2006/customXml" ds:itemID="{90D8FD46-D2C0-4D8F-9381-AA20E6AE03C9}">
  <ds:schemaRefs/>
</ds:datastoreItem>
</file>

<file path=customXml/itemProps13.xml><?xml version="1.0" encoding="utf-8"?>
<ds:datastoreItem xmlns:ds="http://schemas.openxmlformats.org/officeDocument/2006/customXml" ds:itemID="{EF821888-3B10-4FC8-B6BC-BF963DC79D1B}">
  <ds:schemaRefs/>
</ds:datastoreItem>
</file>

<file path=customXml/itemProps14.xml><?xml version="1.0" encoding="utf-8"?>
<ds:datastoreItem xmlns:ds="http://schemas.openxmlformats.org/officeDocument/2006/customXml" ds:itemID="{52AEB7A1-7572-460B-A312-19559CC69976}">
  <ds:schemaRefs/>
</ds:datastoreItem>
</file>

<file path=customXml/itemProps15.xml><?xml version="1.0" encoding="utf-8"?>
<ds:datastoreItem xmlns:ds="http://schemas.openxmlformats.org/officeDocument/2006/customXml" ds:itemID="{068C6342-3848-4FEA-9EE0-D1AF4E923F95}">
  <ds:schemaRefs/>
</ds:datastoreItem>
</file>

<file path=customXml/itemProps16.xml><?xml version="1.0" encoding="utf-8"?>
<ds:datastoreItem xmlns:ds="http://schemas.openxmlformats.org/officeDocument/2006/customXml" ds:itemID="{9D5E5AAB-01F0-4B08-9B27-E073B470338D}">
  <ds:schemaRefs/>
</ds:datastoreItem>
</file>

<file path=customXml/itemProps17.xml><?xml version="1.0" encoding="utf-8"?>
<ds:datastoreItem xmlns:ds="http://schemas.openxmlformats.org/officeDocument/2006/customXml" ds:itemID="{45EBA6B3-14E1-4EFD-B0FA-B86A12EF64B5}">
  <ds:schemaRefs/>
</ds:datastoreItem>
</file>

<file path=customXml/itemProps18.xml><?xml version="1.0" encoding="utf-8"?>
<ds:datastoreItem xmlns:ds="http://schemas.openxmlformats.org/officeDocument/2006/customXml" ds:itemID="{107A7AC1-E990-40D8-966B-C7E7CD731BBF}">
  <ds:schemaRefs/>
</ds:datastoreItem>
</file>

<file path=customXml/itemProps19.xml><?xml version="1.0" encoding="utf-8"?>
<ds:datastoreItem xmlns:ds="http://schemas.openxmlformats.org/officeDocument/2006/customXml" ds:itemID="{55878AE4-1C02-4E9E-909E-EBF3D6908B6F}">
  <ds:schemaRefs/>
</ds:datastoreItem>
</file>

<file path=customXml/itemProps20.xml><?xml version="1.0" encoding="utf-8"?>
<ds:datastoreItem xmlns:ds="http://schemas.openxmlformats.org/officeDocument/2006/customXml" ds:itemID="{26E23CEE-65F5-4C81-9D5C-3DF6A020076E}">
  <ds:schemaRefs/>
</ds:datastoreItem>
</file>

<file path=customXml/itemProps21.xml><?xml version="1.0" encoding="utf-8"?>
<ds:datastoreItem xmlns:ds="http://schemas.openxmlformats.org/officeDocument/2006/customXml" ds:itemID="{E57C7BBD-B9D0-4140-AB1D-B7F7FF18DF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Sales</vt:lpstr>
      <vt:lpstr>PivotTable</vt:lpstr>
      <vt:lpstr>Dashboard Advanced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Chowhury</dc:creator>
  <cp:lastModifiedBy>Faisal Chowhury</cp:lastModifiedBy>
  <dcterms:created xsi:type="dcterms:W3CDTF">2026-10-05T08:34:18Z</dcterms:created>
  <dcterms:modified xsi:type="dcterms:W3CDTF">2026-10-28T19:07:43Z</dcterms:modified>
</cp:coreProperties>
</file>